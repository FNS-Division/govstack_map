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mc:AlternateContent xmlns:mc="http://schemas.openxmlformats.org/markup-compatibility/2006">
    <mc:Choice Requires="x15">
      <x15ac:absPath xmlns:x15ac="http://schemas.microsoft.com/office/spreadsheetml/2010/11/ac" url="https://ituint-my.sharepoint.com/personal/jody_van_itu_int/Documents/"/>
    </mc:Choice>
  </mc:AlternateContent>
  <xr:revisionPtr revIDLastSave="0" documentId="8_{DAA25EAF-4D17-47C6-BA9E-75C153DE3647}" xr6:coauthVersionLast="47" xr6:coauthVersionMax="47" xr10:uidLastSave="{00000000-0000-0000-0000-000000000000}"/>
  <bookViews>
    <workbookView xWindow="-28920" yWindow="-5175" windowWidth="29040" windowHeight="15720" xr2:uid="{1EA68D9A-F93E-4A67-9096-DC39388C24AD}"/>
  </bookViews>
  <sheets>
    <sheet name="Global View" sheetId="1" r:id="rId1"/>
    <sheet name="Focal Points" sheetId="2" r:id="rId2"/>
    <sheet name="Experts" sheetId="3" r:id="rId3"/>
    <sheet name="Assets" sheetId="4" r:id="rId4"/>
    <sheet name="Input Sheet" sheetId="5" r:id="rId5"/>
    <sheet name="Sheet2" sheetId="7" r:id="rId6"/>
    <sheet name="Sheet1" sheetId="6" state="hidden"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7" l="1"/>
  <c r="B3" i="7"/>
  <c r="B5" i="7"/>
  <c r="B6" i="7"/>
  <c r="B7" i="7"/>
  <c r="B2" i="7"/>
  <c r="B4" i="7"/>
  <c r="A2" i="7" a="1"/>
  <c r="A2" i="7" s="1"/>
  <c r="A2" i="2"/>
  <c r="A5" i="2"/>
  <c r="A6" i="2"/>
  <c r="A7" i="2"/>
  <c r="A8" i="2"/>
  <c r="A9" i="2"/>
  <c r="A1"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<sst xmlns="http://schemas.openxmlformats.org/spreadsheetml/2006/main" count="654" uniqueCount="459">
  <si>
    <t>Region</t>
  </si>
  <si>
    <t>Country</t>
  </si>
  <si>
    <t>Activity</t>
  </si>
  <si>
    <t>Description</t>
  </si>
  <si>
    <t xml:space="preserve">Status </t>
  </si>
  <si>
    <t>Focal Point</t>
  </si>
  <si>
    <t>Building Block</t>
  </si>
  <si>
    <t>Use Case</t>
  </si>
  <si>
    <t>Budget</t>
  </si>
  <si>
    <t>Timeline</t>
  </si>
  <si>
    <t>example</t>
  </si>
  <si>
    <t>Africa</t>
  </si>
  <si>
    <t>Albania</t>
  </si>
  <si>
    <t>GovStack</t>
  </si>
  <si>
    <t>GovStack Overview</t>
  </si>
  <si>
    <t>Completed</t>
  </si>
  <si>
    <t>Project</t>
  </si>
  <si>
    <t>Q1 2026</t>
  </si>
  <si>
    <t>Asia-Pacific</t>
  </si>
  <si>
    <t>Mongolia</t>
  </si>
  <si>
    <t>Direct country assistance on interoperability</t>
  </si>
  <si>
    <t>In progress</t>
  </si>
  <si>
    <t>Ashish Narayan</t>
  </si>
  <si>
    <t>Timor leste (Portugeese)</t>
  </si>
  <si>
    <t>GovStack general training</t>
  </si>
  <si>
    <t>Planned</t>
  </si>
  <si>
    <t>Cambodia</t>
  </si>
  <si>
    <t>Digital ID and GovStack training</t>
  </si>
  <si>
    <t>Lao PDR</t>
  </si>
  <si>
    <t>Training on GovStack whole of government</t>
  </si>
  <si>
    <t>Pakistan</t>
  </si>
  <si>
    <t>GovStack overview</t>
  </si>
  <si>
    <t>Nepal</t>
  </si>
  <si>
    <t>GovStack overview (request to be reaffirmed)</t>
  </si>
  <si>
    <t>Bhutan</t>
  </si>
  <si>
    <t>Creating a roadmap for building blocks</t>
  </si>
  <si>
    <t>BIMSTEC</t>
  </si>
  <si>
    <t>Training of trainers online</t>
  </si>
  <si>
    <t>Bangladesh</t>
  </si>
  <si>
    <t>Pacific</t>
  </si>
  <si>
    <t>Fiji</t>
  </si>
  <si>
    <t>Interoperability and data exchange platform technical assistance</t>
  </si>
  <si>
    <t>Vanuatu</t>
  </si>
  <si>
    <t>GovStack hands on training</t>
  </si>
  <si>
    <t>Palau</t>
  </si>
  <si>
    <t>Papua New Guinea</t>
  </si>
  <si>
    <t>Training on payment building block, training of new staff members</t>
  </si>
  <si>
    <t>Samoa</t>
  </si>
  <si>
    <t>Designing of digital government architecture aligned to GovStack and assistance in kicking off digital government transformation programme</t>
  </si>
  <si>
    <t>Tuvalu</t>
  </si>
  <si>
    <t>Introductory workshop on GovStack</t>
  </si>
  <si>
    <t>Eswatini</t>
  </si>
  <si>
    <t>Govstack Cloud Environnement. Certificate pending</t>
  </si>
  <si>
    <t>Ann Rita</t>
  </si>
  <si>
    <t>Americas</t>
  </si>
  <si>
    <t>Dominican Republic</t>
  </si>
  <si>
    <t>Govstack Value Proposition Workshop conducted in 2024. MOU is under review by the government</t>
  </si>
  <si>
    <t>Miguel Alcaine</t>
  </si>
  <si>
    <t>CIS</t>
  </si>
  <si>
    <t>Kazakhstan</t>
  </si>
  <si>
    <r>
      <rPr>
        <sz val="11"/>
        <color rgb="FF000000"/>
        <rFont val="Aptos"/>
      </rPr>
      <t xml:space="preserve">In May 2026, our project’s partner, NITEC (the eGov operator of Kazakhstan), submitted for review a draft technical specification for the new GovStack Analytics Building Block, which is based on Kazakhstan’s product Smart Data Ukimet (a 'data lake’). In parallel, we are developing a promo video to spread the word about the Analytics BB and a series of DIY video tutorials to support the BB. In addition, NITEC is drafting two technical specifications for use cases based on the Analytics BB.  We plan to submit the whole package (Analytics BB technical specification + videos + two use cases) to the GovStack Board for review and further publication before July.  </t>
    </r>
    <r>
      <rPr>
        <b/>
        <sz val="11"/>
        <color rgb="FF000000"/>
        <rFont val="Aptos"/>
      </rPr>
      <t xml:space="preserve">Future activity: a regional event on digital governance (to be approved by the Events Board), where we will have a session dedicated to GovStack and to Analytics Building Block in particular.  </t>
    </r>
  </si>
  <si>
    <t>Nakhli, Farid</t>
  </si>
  <si>
    <t>Laos</t>
  </si>
  <si>
    <t>Lesotho</t>
  </si>
  <si>
    <t>Mauritania</t>
  </si>
  <si>
    <t>Karim Abdelghani</t>
  </si>
  <si>
    <t>Europe</t>
  </si>
  <si>
    <t>Montenegro</t>
  </si>
  <si>
    <t>including 10 municipalities</t>
  </si>
  <si>
    <t>Valentina Stadnic</t>
  </si>
  <si>
    <t>Serbia</t>
  </si>
  <si>
    <t>The Gambia</t>
  </si>
  <si>
    <t>Mozambique</t>
  </si>
  <si>
    <t>Christine Sund</t>
  </si>
  <si>
    <r>
      <t>Govstack Cloud Environnement for Eswatini</t>
    </r>
    <r>
      <rPr>
        <sz val="12"/>
        <color rgb="FF000000"/>
        <rFont val="Aptos"/>
        <family val="2"/>
      </rPr>
      <t> </t>
    </r>
  </si>
  <si>
    <t>Republic of Guinea</t>
  </si>
  <si>
    <t>3 use cases identified. To develop prototype</t>
  </si>
  <si>
    <t>Emmanuel Niyikora</t>
  </si>
  <si>
    <t>Guinea-Bissau</t>
  </si>
  <si>
    <t>Use cases in agriculture</t>
  </si>
  <si>
    <t>Colombia</t>
  </si>
  <si>
    <t>Bogata: Govstack Value Proposition Workshop, Citizen Satisfaction Survey Building Block was supported in scoping</t>
  </si>
  <si>
    <t>cameroon</t>
  </si>
  <si>
    <t>Introdcution</t>
  </si>
  <si>
    <t>Name</t>
  </si>
  <si>
    <t>emial</t>
  </si>
  <si>
    <t>Location</t>
  </si>
  <si>
    <t>anne.rita.ssemboga@itu.int</t>
  </si>
  <si>
    <t>Zimbabwe</t>
  </si>
  <si>
    <t>emmanuel.niyikora@itu.int</t>
  </si>
  <si>
    <t>christine.sund@itu.int</t>
  </si>
  <si>
    <t>Riham Fahkry</t>
  </si>
  <si>
    <t>riham.fakhry@itu.int</t>
  </si>
  <si>
    <t>Ashish.Narayan@itu.int</t>
  </si>
  <si>
    <t>farid.nakhli@itu.int</t>
  </si>
  <si>
    <t>Moscow</t>
  </si>
  <si>
    <t>valentina.stadnic@itu.int</t>
  </si>
  <si>
    <t>Geneve</t>
  </si>
  <si>
    <t>Scarabino, Sergio</t>
  </si>
  <si>
    <t>Sergio.Scarabino@itu.int</t>
  </si>
  <si>
    <t> Santiago</t>
  </si>
  <si>
    <t>HQ</t>
  </si>
  <si>
    <t>Jody van Wyk</t>
  </si>
  <si>
    <t>jody.van@itu.int</t>
  </si>
  <si>
    <t>Role</t>
  </si>
  <si>
    <t>Comment on work</t>
  </si>
  <si>
    <t>Contract type</t>
  </si>
  <si>
    <t>Status</t>
  </si>
  <si>
    <t>Area of work</t>
  </si>
  <si>
    <t>Link to CV/LinkedIn</t>
  </si>
  <si>
    <t>Taylor Downs</t>
  </si>
  <si>
    <t>Working Group Lead for Workflow BB Tech Spec</t>
  </si>
  <si>
    <t>DPI/Digital public goods</t>
  </si>
  <si>
    <t>https://www.linkedin.com/in/taylordowns2000/</t>
  </si>
  <si>
    <t>Aleksander Reitsakas</t>
  </si>
  <si>
    <t>Business strategy</t>
  </si>
  <si>
    <t>https://www.linkedin.com/in/aleksander-reitsakas/</t>
  </si>
  <si>
    <t>Ingmar Vali</t>
  </si>
  <si>
    <t>Registration and Registries BB Tech Specs</t>
  </si>
  <si>
    <t>E-government services</t>
  </si>
  <si>
    <t>https://www.linkedin.com/in/ingmarvali/</t>
  </si>
  <si>
    <t>Mauree, Venkatesan(Vijay)</t>
  </si>
  <si>
    <t>Working Group Lead for Payment BB Tech Spec</t>
  </si>
  <si>
    <t>Telecom, DPI</t>
  </si>
  <si>
    <t>https://www.linkedin.com/in/vijaymauree/</t>
  </si>
  <si>
    <t>Martin Karner</t>
  </si>
  <si>
    <t>DPI, AI &amp; Robotics</t>
  </si>
  <si>
    <t>https://www.linkedin.com/in/martin-karner-1865378/</t>
  </si>
  <si>
    <t>Jaume Dubois</t>
  </si>
  <si>
    <t>ID BB Tech Spec</t>
  </si>
  <si>
    <t xml:space="preserve">Digital ID / Infrastructures / Payments </t>
  </si>
  <si>
    <t>https://www.linkedin.com/in/jaumedubois/</t>
  </si>
  <si>
    <t>Ain Aaviksoo</t>
  </si>
  <si>
    <t>healthcare innovation and digital transformation</t>
  </si>
  <si>
    <t>https://www.linkedin.com/in/ainaaviksoo/</t>
  </si>
  <si>
    <t>Max Carlson (Sandbox)</t>
  </si>
  <si>
    <t>Tambet artma</t>
  </si>
  <si>
    <t>e-governance solutions</t>
  </si>
  <si>
    <t>https://www.linkedin.com/in/tambetartma/</t>
  </si>
  <si>
    <t>James Daley</t>
  </si>
  <si>
    <t>Oscar Correira</t>
  </si>
  <si>
    <t>Information technology, digital finance</t>
  </si>
  <si>
    <t>https://www.linkedin.com/in/oscarcorreia/</t>
  </si>
  <si>
    <t>Arnold Kibuuka</t>
  </si>
  <si>
    <t>Payment BB Tech Spec</t>
  </si>
  <si>
    <t>Digital Financial Services</t>
  </si>
  <si>
    <t>https://www.linkedin.com/in/arnold-kibuuka/</t>
  </si>
  <si>
    <t>Aare Laponin</t>
  </si>
  <si>
    <t>e-Government services development</t>
  </si>
  <si>
    <t>https://www.linkedin.com/in/aarelaponin/</t>
  </si>
  <si>
    <t>Farai mutero</t>
  </si>
  <si>
    <t>Digital health</t>
  </si>
  <si>
    <t>https://www.linkedin.com/in/faraimuteroza/</t>
  </si>
  <si>
    <t>Bramhanand Jha</t>
  </si>
  <si>
    <t>eGovernance</t>
  </si>
  <si>
    <t>https://www.linkedin.com/in/bramhanand-jha-pmp-0978a129/</t>
  </si>
  <si>
    <t>Satyajit Suri</t>
  </si>
  <si>
    <t>Digital Identity | Digital Public Infrastructure | Digital Government</t>
  </si>
  <si>
    <t>https://www.linkedin.com/in/satyajitsuri/</t>
  </si>
  <si>
    <t>Lal Chandran</t>
  </si>
  <si>
    <t>Consent BB Tech Spec</t>
  </si>
  <si>
    <t xml:space="preserve">Digital Identity  |  eIDAS 2.0  |  EUDI Wallet </t>
  </si>
  <si>
    <t>https://www.linkedin.com/in/lalchandran/</t>
  </si>
  <si>
    <t>Benjamin</t>
  </si>
  <si>
    <t>Philippe Page</t>
  </si>
  <si>
    <t>Maksim Ovtsinnikov</t>
  </si>
  <si>
    <t>E-governance, interoperability and digital transformation expert</t>
  </si>
  <si>
    <t>https://www.linkedin.com/in/maksim-ovtsinnikov/</t>
  </si>
  <si>
    <t>Tarek Rashed</t>
  </si>
  <si>
    <t>Working Group lead for GIS BB Tech Spec</t>
  </si>
  <si>
    <t>Marushka Chocobar</t>
  </si>
  <si>
    <t>AI Governance &amp; Digital Public Infrastructure</t>
  </si>
  <si>
    <t>https://www.linkedin.com/in/marushkachocobar/</t>
  </si>
  <si>
    <t>Dr.Ramkumar permachanahalli</t>
  </si>
  <si>
    <t>ICT transformation, e-governance</t>
  </si>
  <si>
    <t>https://www.linkedin.com/in/dr-ramkumar-permachanahalli-5100648a/</t>
  </si>
  <si>
    <t>Asset</t>
  </si>
  <si>
    <t>Type of Asset</t>
  </si>
  <si>
    <t>Link</t>
  </si>
  <si>
    <t>Target Audiance</t>
  </si>
  <si>
    <t>PAERA (Public Administration and E-Governance Readiness Assessment)</t>
  </si>
  <si>
    <t>Methodology guide</t>
  </si>
  <si>
    <t>https://specs.govstack.global/paera</t>
  </si>
  <si>
    <t>A tool used to evaluate a country’s readiness to adopt and implement digital public infrastructure and GovStack-aligned solutions. PAERA helps identify gaps in governance, policy, technical capacity, and institutional frameworks, providing structured insights to guide planning, prioritisation, and implementation of digital government services. It supports evidence-based decision-making and aligns digital transformation efforts with national priorities.</t>
  </si>
  <si>
    <t>Policymakers, government leaders, programme managers, digital transformation units, international development partners</t>
  </si>
  <si>
    <t>GovStack Implementation Playbook</t>
  </si>
  <si>
    <t>https://govstack.gitbook.io/implementation-playbook</t>
  </si>
  <si>
    <t>Step-by-step guide for governments to adopt the GovStack approach, including governance, catalog,  design, and implementation phases</t>
  </si>
  <si>
    <t>Government officials, policymakers, programme managers</t>
  </si>
  <si>
    <t>GovStack Sandbox</t>
  </si>
  <si>
    <t>https://sandbox.govstack.global</t>
  </si>
  <si>
    <t>Interactive environment to test and explore GovStack building blocks and integrations</t>
  </si>
  <si>
    <t>Developers, solution architects</t>
  </si>
  <si>
    <t xml:space="preserve"> </t>
  </si>
  <si>
    <t>GovStack GitHub Repository</t>
  </si>
  <si>
    <t>Buildinng Blocks</t>
  </si>
  <si>
    <t>https://github.com/GovStackWorkingGroup</t>
  </si>
  <si>
    <t>Central repository for all technical specifications, documentation, and tools</t>
  </si>
  <si>
    <t>Developers, architects, technical teams</t>
  </si>
  <si>
    <t>GovStack Architecture and Cross-Functional Requirements</t>
  </si>
  <si>
    <t>https://specs.govstack.global/architecture</t>
  </si>
  <si>
    <t>Overarching GovStack architecture guidance covering common terminology, architecture principles, building block architecture, and cross-functional requirements for GovStack-compliant systems.</t>
  </si>
  <si>
    <t>Enterprise architects, solution architects, government IT teams, procurement teams</t>
  </si>
  <si>
    <t>Identity Building Block</t>
  </si>
  <si>
    <t>https://specs.govstack.global/identity</t>
  </si>
  <si>
    <t>Defines digital identity systems for authentication and user management</t>
  </si>
  <si>
    <t>Developers, architects, government IT teams</t>
  </si>
  <si>
    <t>Registration Building Block</t>
  </si>
  <si>
    <t>https://specs.govstack.global/registration</t>
  </si>
  <si>
    <t>Handles intake and registration of users and entities into systems</t>
  </si>
  <si>
    <t>Developers, service designers</t>
  </si>
  <si>
    <t>Consent Building Block</t>
  </si>
  <si>
    <t>https://specs.govstack.global/consent</t>
  </si>
  <si>
    <t>Manages user consent for data sharing and processing</t>
  </si>
  <si>
    <t>Developers, data governance teams</t>
  </si>
  <si>
    <t>Information Mediator Building Block</t>
  </si>
  <si>
    <t>https://specs.govstack.global/information-mediator</t>
  </si>
  <si>
    <t>Enables secure data exchange between systems (interoperability layer)</t>
  </si>
  <si>
    <t>Architects, backend developers</t>
  </si>
  <si>
    <t>Workflow Building Block</t>
  </si>
  <si>
    <t>https://govstack.gitbook.io/bb-workflow/</t>
  </si>
  <si>
    <t>Orchestrates service processes and task flows</t>
  </si>
  <si>
    <t>Messaging Building Block</t>
  </si>
  <si>
    <t>https://specs.govstack.global/messaging</t>
  </si>
  <si>
    <t>Enables communication between systems and users (notifications, alerts)</t>
  </si>
  <si>
    <t>Developers, system integrators</t>
  </si>
  <si>
    <t>Payment Building Block</t>
  </si>
  <si>
    <t>https://specs.govstack.global/payments</t>
  </si>
  <si>
    <t>Supports digital payments within government services</t>
  </si>
  <si>
    <t>Developers, fintech integrators</t>
  </si>
  <si>
    <t>Scheduler Building Block</t>
  </si>
  <si>
    <t>https://specs.govstack.global/scheduler</t>
  </si>
  <si>
    <t>Manages appointments and scheduling within services</t>
  </si>
  <si>
    <t>Digital Registries Building Block</t>
  </si>
  <si>
    <t>https://specs.govstack.global/registries</t>
  </si>
  <si>
    <t>Maintains authoritative data sources (e.g., population, land registries)</t>
  </si>
  <si>
    <t>Data architects, government IT</t>
  </si>
  <si>
    <t>Cloud Infrastructure Building Block Specification</t>
  </si>
  <si>
    <t>https://specs.govstack.global/cloud-infrastructure</t>
  </si>
  <si>
    <t>Specification for cloud/container infrastructure needed to deploy and operate GovStack-compatible digital services, with focus on sovereignty, scalability, security, operations, and Infrastructure as Code.</t>
  </si>
  <si>
    <t>Cloud architects, DevOps teams, infrastructure teams, government IT teams</t>
  </si>
  <si>
    <t>Content Management System (CMS) Building Block</t>
  </si>
  <si>
    <t>https://specs.govstack.global/content-management-system</t>
  </si>
  <si>
    <t>Enables creation, management, and publishing of digital content for government portals and services</t>
  </si>
  <si>
    <t>Developers, frontend teams, service designers, government IT</t>
  </si>
  <si>
    <t>eMarketplace Building Block</t>
  </si>
  <si>
    <t>https://specs.govstack.global/emarketplace</t>
  </si>
  <si>
    <t>Enables governments to procure and provide goods and services through a digital platform where the government can act as both a consumer (e.g. procurement of goods/services) and a provider (e.g. G2P services like payments or healthcare). The building block supports transparent, efficient, and competitive marketplaces by connecting providers and consumers through a federated, microservices-based architecture.</t>
  </si>
  <si>
    <t>Procurement teams, policymakers, platform developers</t>
  </si>
  <si>
    <t>eSignature Building Block</t>
  </si>
  <si>
    <t>https://specs.govstack.global/esignature</t>
  </si>
  <si>
    <t>Provides digital signing capabilities for documents and transactions, ensuring authenticity and legal validity</t>
  </si>
  <si>
    <t>Developers, legal teams, government IT</t>
  </si>
  <si>
    <t>Wallet Building Block</t>
  </si>
  <si>
    <t>https://specs.govstack.global/wallet</t>
  </si>
  <si>
    <t>Enables storage and management of digital credentials, payments, and identity-linked assets</t>
  </si>
  <si>
    <t>Developers, fintech teams, digital identity teams</t>
  </si>
  <si>
    <t>GIS (Geographic Information System) Building Block</t>
  </si>
  <si>
    <t>https://specs.govstack.global/gis</t>
  </si>
  <si>
    <t>Location-based data, mapping, and geospatial services for digital government applications</t>
  </si>
  <si>
    <t>GIS specialists, developers, planners, government agencies</t>
  </si>
  <si>
    <t>UX/UI Guidelines (GovStack Service Design &amp; UX Framework)</t>
  </si>
  <si>
    <t>Architecture guide</t>
  </si>
  <si>
    <t>https://govstack.gitbook.io/implementation-playbook/service-design</t>
  </si>
  <si>
    <t>Provides guidance on designing citizen-centric digital government services, focusing on usability, accessibility, inclusivity, and human-centred design. It supports governments in translating policy and service requirements into intuitive user journeys, interfaces, and prototypes. The guidelines emphasize designing for real user needs, iterative testing, and aligning front-end experience with back-end GovStack building blocks to ensure seamless service delivery across channels.</t>
  </si>
  <si>
    <t>Service designers, UX/UI designers, frontend developers, policymakers, programme managers</t>
  </si>
  <si>
    <t>Women in GovTech Challenge</t>
  </si>
  <si>
    <t>Capacity Building program</t>
  </si>
  <si>
    <t>https://govstack.global/women-in-govtech-challenge/</t>
  </si>
  <si>
    <t>A global capacity-building and innovation initiative that empowers women in GovTech and Digital Public Infrastructure through mentorship, training, and hands-on service design. Participants work in teams to design citizen-centric digital government services using the GovStack approach, progressing from problem identification to prototype development. The programme fosters global collaboration, strengthens technical and policy skills, and promotes gender inclusion in digital transformation efforts.</t>
  </si>
  <si>
    <t>Women professionals in government, policymakers, service designers, developers, mentors, international organisations</t>
  </si>
  <si>
    <t>GovStack Architects Programme</t>
  </si>
  <si>
    <t>A structured training and certification programme aimed at building technical expertise in GovStack architecture and digital public infrastructure. It equips participants with knowledge of building block specifications, interoperability, system design, and implementation strategies. The programme combines theoretical learning with practical exercises, enabling participants to design and implement GovStack-aligned solutions and support country-level digital transformation initiatives.</t>
  </si>
  <si>
    <t>Software architects, developers, system integrators, government IT teams, technical consultants</t>
  </si>
  <si>
    <t>Country Name</t>
  </si>
  <si>
    <t>Afghanistan</t>
  </si>
  <si>
    <t>DPI</t>
  </si>
  <si>
    <t>OP</t>
  </si>
  <si>
    <t>Arab States</t>
  </si>
  <si>
    <t>E-Agriculture</t>
  </si>
  <si>
    <t>Q2 2026</t>
  </si>
  <si>
    <t>Algeria</t>
  </si>
  <si>
    <t>E-Government</t>
  </si>
  <si>
    <t>Q3 2026</t>
  </si>
  <si>
    <t>Andorra</t>
  </si>
  <si>
    <t>Q4 2026</t>
  </si>
  <si>
    <t>Angola</t>
  </si>
  <si>
    <t>OSEE</t>
  </si>
  <si>
    <t>Antigua and Barbuda</t>
  </si>
  <si>
    <t>Smart Cities</t>
  </si>
  <si>
    <t>Argentina</t>
  </si>
  <si>
    <t>Smart Islands</t>
  </si>
  <si>
    <t>Armenia</t>
  </si>
  <si>
    <t>Smart Villiages</t>
  </si>
  <si>
    <t>Australia</t>
  </si>
  <si>
    <t>Austria</t>
  </si>
  <si>
    <t>Azerbaijan</t>
  </si>
  <si>
    <t>Bahamas</t>
  </si>
  <si>
    <t>Bahrain</t>
  </si>
  <si>
    <t>Barbados</t>
  </si>
  <si>
    <t>Belarus</t>
  </si>
  <si>
    <t>Belgium</t>
  </si>
  <si>
    <t>Belize</t>
  </si>
  <si>
    <t>Benin</t>
  </si>
  <si>
    <t>Bolivia</t>
  </si>
  <si>
    <t>Bosnia and Herzegovina</t>
  </si>
  <si>
    <t>Botswana</t>
  </si>
  <si>
    <t>Brazil</t>
  </si>
  <si>
    <t>Brunei Darussalam</t>
  </si>
  <si>
    <t>Bulgaria</t>
  </si>
  <si>
    <t>Burkina Faso</t>
  </si>
  <si>
    <t>Burundi</t>
  </si>
  <si>
    <t>Cabo Verde</t>
  </si>
  <si>
    <t>Cameroon</t>
  </si>
  <si>
    <t>Canada</t>
  </si>
  <si>
    <t>Central African Republic</t>
  </si>
  <si>
    <t>Chad</t>
  </si>
  <si>
    <t>Chile</t>
  </si>
  <si>
    <t>China</t>
  </si>
  <si>
    <t>Comoros</t>
  </si>
  <si>
    <t>Congo</t>
  </si>
  <si>
    <t>Costa Rica</t>
  </si>
  <si>
    <t>Croatia</t>
  </si>
  <si>
    <t>Cuba</t>
  </si>
  <si>
    <t>Cyprus</t>
  </si>
  <si>
    <t>Czechia</t>
  </si>
  <si>
    <t>Côte d’Ivoire</t>
  </si>
  <si>
    <t>Democratic People’s Republic of Korea</t>
  </si>
  <si>
    <t>Democratic Republic of the Congo</t>
  </si>
  <si>
    <t>Denmark</t>
  </si>
  <si>
    <t>Djibouti</t>
  </si>
  <si>
    <t>Dominica</t>
  </si>
  <si>
    <t>Ecuador</t>
  </si>
  <si>
    <t>Egypt</t>
  </si>
  <si>
    <t>El Salvador</t>
  </si>
  <si>
    <t>Equatorial Guinea</t>
  </si>
  <si>
    <t>Eritrea</t>
  </si>
  <si>
    <t>Estonia</t>
  </si>
  <si>
    <t>Ethiopia</t>
  </si>
  <si>
    <t>Finland</t>
  </si>
  <si>
    <t>France</t>
  </si>
  <si>
    <t>Gabon</t>
  </si>
  <si>
    <t>Gambia</t>
  </si>
  <si>
    <t>Georgia</t>
  </si>
  <si>
    <t>Germany</t>
  </si>
  <si>
    <t>Ghana</t>
  </si>
  <si>
    <t>Greece</t>
  </si>
  <si>
    <t>Grenada</t>
  </si>
  <si>
    <t>Guatemala</t>
  </si>
  <si>
    <t>Guinea</t>
  </si>
  <si>
    <t>Guyana</t>
  </si>
  <si>
    <t>Haiti</t>
  </si>
  <si>
    <t>Honduras</t>
  </si>
  <si>
    <t>Hungary</t>
  </si>
  <si>
    <t>Iceland</t>
  </si>
  <si>
    <t>India</t>
  </si>
  <si>
    <t>Indonesia</t>
  </si>
  <si>
    <t>Iran (Islamic Republic of)</t>
  </si>
  <si>
    <t>Iraq</t>
  </si>
  <si>
    <t>Ireland</t>
  </si>
  <si>
    <t>Israel</t>
  </si>
  <si>
    <t>Italy</t>
  </si>
  <si>
    <t>Jamaica</t>
  </si>
  <si>
    <t>Japan</t>
  </si>
  <si>
    <t>Jordan</t>
  </si>
  <si>
    <t>Kenya</t>
  </si>
  <si>
    <t>Kiribati</t>
  </si>
  <si>
    <t>Kuwait</t>
  </si>
  <si>
    <t>Kyrgyzstan</t>
  </si>
  <si>
    <t>Lao People’s Democratic Republic</t>
  </si>
  <si>
    <t>Latvia</t>
  </si>
  <si>
    <t>Lebanon</t>
  </si>
  <si>
    <t>Liberia</t>
  </si>
  <si>
    <t>Libya</t>
  </si>
  <si>
    <t>Liechtenstein</t>
  </si>
  <si>
    <t>Lithuania</t>
  </si>
  <si>
    <t>Luxembourg</t>
  </si>
  <si>
    <t>Madagascar</t>
  </si>
  <si>
    <t>Malawi</t>
  </si>
  <si>
    <t>Malaysia</t>
  </si>
  <si>
    <t>Maldives</t>
  </si>
  <si>
    <t>Mali</t>
  </si>
  <si>
    <t>Malta</t>
  </si>
  <si>
    <t>Marshall Islands</t>
  </si>
  <si>
    <t>Mauritius</t>
  </si>
  <si>
    <t>Mexico</t>
  </si>
  <si>
    <t>Micronesia (Federated States of)</t>
  </si>
  <si>
    <t>Monaco</t>
  </si>
  <si>
    <t>Morocco</t>
  </si>
  <si>
    <t>Myanmar</t>
  </si>
  <si>
    <t>Namibia</t>
  </si>
  <si>
    <t>Nauru</t>
  </si>
  <si>
    <t>Netherlands</t>
  </si>
  <si>
    <t>New Zealand</t>
  </si>
  <si>
    <t>Nicaragua</t>
  </si>
  <si>
    <t>Niger</t>
  </si>
  <si>
    <t>Nigeria</t>
  </si>
  <si>
    <t>North Macedonia</t>
  </si>
  <si>
    <t>Norway</t>
  </si>
  <si>
    <t>Oman</t>
  </si>
  <si>
    <t>Panama</t>
  </si>
  <si>
    <t>Paraguay</t>
  </si>
  <si>
    <t>Peru</t>
  </si>
  <si>
    <t>Philippines</t>
  </si>
  <si>
    <t>Poland</t>
  </si>
  <si>
    <t>Portugal</t>
  </si>
  <si>
    <t>Qatar</t>
  </si>
  <si>
    <t>Republic of Korea</t>
  </si>
  <si>
    <t>Republic of Moldova</t>
  </si>
  <si>
    <t>Romania</t>
  </si>
  <si>
    <t>Russian Federation</t>
  </si>
  <si>
    <t>Rwanda</t>
  </si>
  <si>
    <t>Saint Kitts and Nevis</t>
  </si>
  <si>
    <t>Saint Lucia</t>
  </si>
  <si>
    <t>Saint Vincent and the Grenadines</t>
  </si>
  <si>
    <t>San Marino</t>
  </si>
  <si>
    <t>Sao Tome and Principe</t>
  </si>
  <si>
    <t>Saudi Arabia</t>
  </si>
  <si>
    <t>Senegal</t>
  </si>
  <si>
    <t>Seychelles</t>
  </si>
  <si>
    <t>Sierra Leone</t>
  </si>
  <si>
    <t>Singapore</t>
  </si>
  <si>
    <t>Slovakia</t>
  </si>
  <si>
    <t>Slovenia</t>
  </si>
  <si>
    <t>Solomon Islands</t>
  </si>
  <si>
    <t>Somalia</t>
  </si>
  <si>
    <t>South Africa</t>
  </si>
  <si>
    <t>South Sudan</t>
  </si>
  <si>
    <t>Spain</t>
  </si>
  <si>
    <t>Sri Lanka</t>
  </si>
  <si>
    <t>Sudan</t>
  </si>
  <si>
    <t>Suriname</t>
  </si>
  <si>
    <t>Sweden</t>
  </si>
  <si>
    <t>Switzerland</t>
  </si>
  <si>
    <t>Syrian Arab Republic</t>
  </si>
  <si>
    <t>Tajikistan</t>
  </si>
  <si>
    <t>Thailand</t>
  </si>
  <si>
    <t>Timor-Leste</t>
  </si>
  <si>
    <t>Togo</t>
  </si>
  <si>
    <t>Tonga</t>
  </si>
  <si>
    <t>Trinidad and Tobago</t>
  </si>
  <si>
    <t>Tunisia</t>
  </si>
  <si>
    <t>Turkmenistan</t>
  </si>
  <si>
    <t>Türkiye</t>
  </si>
  <si>
    <t>Uganda</t>
  </si>
  <si>
    <t>Ukraine</t>
  </si>
  <si>
    <t>United Arab Emirates</t>
  </si>
  <si>
    <t>United Kingdom</t>
  </si>
  <si>
    <t>United Republic of Tanzania</t>
  </si>
  <si>
    <t>United States of America</t>
  </si>
  <si>
    <t>Uruguay</t>
  </si>
  <si>
    <t>Uzbekistan</t>
  </si>
  <si>
    <t>Venezuela (Bolivarian Republic of)</t>
  </si>
  <si>
    <t>Viet Nam</t>
  </si>
  <si>
    <t>Yemen</t>
  </si>
  <si>
    <t>Zambia</t>
  </si>
  <si>
    <t>Regions</t>
  </si>
  <si>
    <t>OP 26 (CHF)</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</si>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</sst>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
      <sz val="11"/>
      <color theme="1"/>
      <name val="Aptos"/>
      <family val="2"/>
    </font>
    <font>
      <b/>
      <sz val="11"/>
      <color theme="1"/>
      <name val="Aptos"/>
      <family val="2"/>
    </font>
    <font>
      <i/>
      <sz val="11"/>
      <color theme="7"/>
      <name val="Aptos"/>
      <family val="2"/>
    </font>
    <font>
      <sz val="11"/>
      <color rgb="FF000000"/>
      <name val="Aptos"/>
      <family val="2"/>
    </font>
    <font>
      <sz val="11"/>
      <color rgb="FF000000"/>
      <name val="Aptos Narrow"/>
    </font>
    <font>
      <sz val="11"/>
      <color rgb="FF000000"/>
      <name val="Aptos"/>
    </font>
    <font>
      <b/>
      <sz val="11"/>
      <color rgb="FF000000"/>
      <name val="Aptos"/>
    </font>
    <font>
      <sz val="12"/>
      <color rgb="FF000000"/>
      <name val="Aptos"/>
      <family val="2"/>
    </font>
    <font>
      <i/>
      <sz val="11"/>
      <color theme="1"/>
      <name val="Aptos Narrow"/>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3" fillId="0" borderId="0" applyNumberFormat="0" applyFill="0" applyBorder="0" applyAlignment="0" applyProtection="0"/>
  </cellStyleXfs>
  <cellXfs count="17">
    <xf numFmtId="0" fontId="0" fillId="0" borderId="0" xfId="0"/>
    <xf numFmtId="0" fontId="1" fillId="0" borderId="0" xfId="0" applyFont="1"/>
    <xf numFmtId="0" fontId="0" fillId="0" borderId="0" xfId="0" applyAlignment="1">
      <alignment wrapText="1"/>
    </xf>
    <xf numFmtId="0" fontId="3" fillId="0" borderId="0" xfId="1"/>
    <xf numFmtId="0" fontId="4" fillId="0" borderId="0" xfId="0" applyFont="1"/>
    <xf numFmtId="0" fontId="5" fillId="0" borderId="0" xfId="0" applyFont="1"/>
    <xf numFmtId="0" fontId="6" fillId="0" borderId="0" xfId="0" applyFont="1"/>
    <xf numFmtId="0" fontId="7" fillId="0" borderId="0" xfId="0" applyFont="1"/>
    <xf numFmtId="0" fontId="7" fillId="0" borderId="0" xfId="0" applyFont="1" applyAlignment="1">
      <alignment wrapText="1"/>
    </xf>
    <xf numFmtId="0" fontId="1" fillId="0" borderId="0" xfId="0" applyFont="1" applyAlignment="1">
      <alignment wrapText="1"/>
    </xf>
    <xf numFmtId="0" fontId="3" fillId="0" borderId="0" xfId="1" applyAlignment="1">
      <alignment wrapText="1"/>
    </xf>
    <xf numFmtId="0" fontId="8" fillId="0" borderId="0" xfId="0" applyFont="1" applyAlignment="1">
      <alignment wrapText="1"/>
    </xf>
    <xf numFmtId="0" fontId="9" fillId="0" borderId="0" xfId="0" applyFont="1"/>
    <xf numFmtId="0" fontId="4" fillId="0" borderId="0" xfId="0" applyFont="1" applyAlignment="1">
      <alignment wrapText="1"/>
    </xf>
    <xf numFmtId="0" fontId="0" fillId="0" borderId="1" xfId="0" applyBorder="1"/>
    <xf numFmtId="0" fontId="12" fillId="0" borderId="0" xfId="0" applyFont="1" applyAlignment="1">
      <alignment horizontal="right"/>
    </xf>
    <xf numFmtId="0" fontId="1" fillId="0" borderId="0" xfId="0" applyFon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9</xdr:row>
      <xdr:rowOff>28575</xdr:rowOff>
    </xdr:from>
    <xdr:to>
      <xdr:col>26</xdr:col>
      <xdr:colOff>459686</xdr:colOff>
      <xdr:row>24</xdr:row>
      <xdr:rowOff>375</xdr:rowOff>
    </xdr:to>
    <xdr:pic>
      <xdr:nvPicPr>
        <xdr:cNvPr id="2" name="Picture 1">
          <a:extLst>
            <a:ext uri="{FF2B5EF4-FFF2-40B4-BE49-F238E27FC236}">
              <a16:creationId xmlns:a16="http://schemas.microsoft.com/office/drawing/2014/main" id="{2732479B-65D7-7296-0665-3BF05314D74D}"/>
            </a:ext>
          </a:extLst>
        </xdr:cNvPr>
        <xdr:cNvPicPr>
          <a:picLocks noChangeAspect="1"/>
        </xdr:cNvPicPr>
      </xdr:nvPicPr>
      <xdr:blipFill>
        <a:blip xmlns:r="http://schemas.openxmlformats.org/officeDocument/2006/relationships" r:embed="rId1"/>
        <a:stretch>
          <a:fillRect/>
        </a:stretch>
      </xdr:blipFill>
      <xdr:spPr>
        <a:xfrm>
          <a:off x="0" y="1657350"/>
          <a:ext cx="17811061" cy="2686425"/>
        </a:xfrm>
        <a:prstGeom prst="rect">
          <a:avLst/>
        </a:prstGeom>
      </xdr:spPr>
    </xdr:pic>
    <xdr:clientData/>
  </xdr:twoCellAnchor>
  <xdr:twoCellAnchor editAs="oneCell">
    <xdr:from>
      <xdr:col>0</xdr:col>
      <xdr:colOff>0</xdr:colOff>
      <xdr:row>24</xdr:row>
      <xdr:rowOff>0</xdr:rowOff>
    </xdr:from>
    <xdr:to>
      <xdr:col>26</xdr:col>
      <xdr:colOff>494616</xdr:colOff>
      <xdr:row>49</xdr:row>
      <xdr:rowOff>67316</xdr:rowOff>
    </xdr:to>
    <xdr:pic>
      <xdr:nvPicPr>
        <xdr:cNvPr id="3" name="Picture 2">
          <a:extLst>
            <a:ext uri="{FF2B5EF4-FFF2-40B4-BE49-F238E27FC236}">
              <a16:creationId xmlns:a16="http://schemas.microsoft.com/office/drawing/2014/main" id="{36FDD63A-799F-12F1-3BE1-638CD5EBCF51}"/>
            </a:ext>
          </a:extLst>
        </xdr:cNvPr>
        <xdr:cNvPicPr>
          <a:picLocks noChangeAspect="1"/>
        </xdr:cNvPicPr>
      </xdr:nvPicPr>
      <xdr:blipFill>
        <a:blip xmlns:r="http://schemas.openxmlformats.org/officeDocument/2006/relationships" r:embed="rId2"/>
        <a:stretch>
          <a:fillRect/>
        </a:stretch>
      </xdr:blipFill>
      <xdr:spPr>
        <a:xfrm>
          <a:off x="0" y="4343400"/>
          <a:ext cx="17852341" cy="4591691"/>
        </a:xfrm>
        <a:prstGeom prst="rect">
          <a:avLst/>
        </a:prstGeom>
      </xdr:spPr>
    </xdr:pic>
    <xdr:clientData/>
  </xdr:twoCellAnchor>
  <xdr:twoCellAnchor editAs="oneCell">
    <xdr:from>
      <xdr:col>0</xdr:col>
      <xdr:colOff>0</xdr:colOff>
      <xdr:row>51</xdr:row>
      <xdr:rowOff>0</xdr:rowOff>
    </xdr:from>
    <xdr:to>
      <xdr:col>26</xdr:col>
      <xdr:colOff>494616</xdr:colOff>
      <xdr:row>59</xdr:row>
      <xdr:rowOff>143097</xdr:rowOff>
    </xdr:to>
    <xdr:pic>
      <xdr:nvPicPr>
        <xdr:cNvPr id="4" name="Picture 3">
          <a:extLst>
            <a:ext uri="{FF2B5EF4-FFF2-40B4-BE49-F238E27FC236}">
              <a16:creationId xmlns:a16="http://schemas.microsoft.com/office/drawing/2014/main" id="{1A47FEC1-96AD-0B00-0E87-AEEA35190753}"/>
            </a:ext>
          </a:extLst>
        </xdr:cNvPr>
        <xdr:cNvPicPr>
          <a:picLocks noChangeAspect="1"/>
        </xdr:cNvPicPr>
      </xdr:nvPicPr>
      <xdr:blipFill>
        <a:blip xmlns:r="http://schemas.openxmlformats.org/officeDocument/2006/relationships" r:embed="rId3"/>
        <a:stretch>
          <a:fillRect/>
        </a:stretch>
      </xdr:blipFill>
      <xdr:spPr>
        <a:xfrm>
          <a:off x="0" y="9229725"/>
          <a:ext cx="17852341" cy="1590897"/>
        </a:xfrm>
        <a:prstGeom prst="rect">
          <a:avLst/>
        </a:prstGeom>
      </xdr:spPr>
    </xdr:pic>
    <xdr:clientData/>
  </xdr:twoCellAnchor>
  <xdr:twoCellAnchor editAs="oneCell">
    <xdr:from>
      <xdr:col>0</xdr:col>
      <xdr:colOff>0</xdr:colOff>
      <xdr:row>61</xdr:row>
      <xdr:rowOff>0</xdr:rowOff>
    </xdr:from>
    <xdr:to>
      <xdr:col>26</xdr:col>
      <xdr:colOff>551774</xdr:colOff>
      <xdr:row>76</xdr:row>
      <xdr:rowOff>124221</xdr:rowOff>
    </xdr:to>
    <xdr:pic>
      <xdr:nvPicPr>
        <xdr:cNvPr id="5" name="Picture 4">
          <a:extLst>
            <a:ext uri="{FF2B5EF4-FFF2-40B4-BE49-F238E27FC236}">
              <a16:creationId xmlns:a16="http://schemas.microsoft.com/office/drawing/2014/main" id="{FCB599CF-B4A0-9933-9B64-C2D5C1109356}"/>
            </a:ext>
          </a:extLst>
        </xdr:cNvPr>
        <xdr:cNvPicPr>
          <a:picLocks noChangeAspect="1"/>
        </xdr:cNvPicPr>
      </xdr:nvPicPr>
      <xdr:blipFill>
        <a:blip xmlns:r="http://schemas.openxmlformats.org/officeDocument/2006/relationships" r:embed="rId4"/>
        <a:stretch>
          <a:fillRect/>
        </a:stretch>
      </xdr:blipFill>
      <xdr:spPr>
        <a:xfrm>
          <a:off x="0" y="11039475"/>
          <a:ext cx="17909499" cy="2838846"/>
        </a:xfrm>
        <a:prstGeom prst="rect">
          <a:avLst/>
        </a:prstGeom>
      </xdr:spPr>
    </xdr:pic>
    <xdr:clientData/>
  </xdr:twoCellAnchor>
  <xdr:twoCellAnchor editAs="oneCell">
    <xdr:from>
      <xdr:col>0</xdr:col>
      <xdr:colOff>0</xdr:colOff>
      <xdr:row>78</xdr:row>
      <xdr:rowOff>0</xdr:rowOff>
    </xdr:from>
    <xdr:to>
      <xdr:col>26</xdr:col>
      <xdr:colOff>485090</xdr:colOff>
      <xdr:row>94</xdr:row>
      <xdr:rowOff>133773</xdr:rowOff>
    </xdr:to>
    <xdr:pic>
      <xdr:nvPicPr>
        <xdr:cNvPr id="6" name="Picture 5">
          <a:extLst>
            <a:ext uri="{FF2B5EF4-FFF2-40B4-BE49-F238E27FC236}">
              <a16:creationId xmlns:a16="http://schemas.microsoft.com/office/drawing/2014/main" id="{34590859-0853-5BAC-C244-8E11FCDB5D3B}"/>
            </a:ext>
          </a:extLst>
        </xdr:cNvPr>
        <xdr:cNvPicPr>
          <a:picLocks noChangeAspect="1"/>
        </xdr:cNvPicPr>
      </xdr:nvPicPr>
      <xdr:blipFill>
        <a:blip xmlns:r="http://schemas.openxmlformats.org/officeDocument/2006/relationships" r:embed="rId5"/>
        <a:stretch>
          <a:fillRect/>
        </a:stretch>
      </xdr:blipFill>
      <xdr:spPr>
        <a:xfrm>
          <a:off x="0" y="14116050"/>
          <a:ext cx="17842815" cy="3029373"/>
        </a:xfrm>
        <a:prstGeom prst="rect">
          <a:avLst/>
        </a:prstGeom>
      </xdr:spPr>
    </xdr:pic>
    <xdr:clientData/>
  </xdr:twoCellAnchor>
  <xdr:twoCellAnchor editAs="oneCell">
    <xdr:from>
      <xdr:col>0</xdr:col>
      <xdr:colOff>0</xdr:colOff>
      <xdr:row>96</xdr:row>
      <xdr:rowOff>0</xdr:rowOff>
    </xdr:from>
    <xdr:to>
      <xdr:col>26</xdr:col>
      <xdr:colOff>513669</xdr:colOff>
      <xdr:row>107</xdr:row>
      <xdr:rowOff>57436</xdr:rowOff>
    </xdr:to>
    <xdr:pic>
      <xdr:nvPicPr>
        <xdr:cNvPr id="7" name="Picture 6">
          <a:extLst>
            <a:ext uri="{FF2B5EF4-FFF2-40B4-BE49-F238E27FC236}">
              <a16:creationId xmlns:a16="http://schemas.microsoft.com/office/drawing/2014/main" id="{32A1A715-7DEA-612E-0436-59D98280836C}"/>
            </a:ext>
          </a:extLst>
        </xdr:cNvPr>
        <xdr:cNvPicPr>
          <a:picLocks noChangeAspect="1"/>
        </xdr:cNvPicPr>
      </xdr:nvPicPr>
      <xdr:blipFill>
        <a:blip xmlns:r="http://schemas.openxmlformats.org/officeDocument/2006/relationships" r:embed="rId6"/>
        <a:stretch>
          <a:fillRect/>
        </a:stretch>
      </xdr:blipFill>
      <xdr:spPr>
        <a:xfrm>
          <a:off x="0" y="17373600"/>
          <a:ext cx="17871394" cy="2048161"/>
        </a:xfrm>
        <a:prstGeom prst="rect">
          <a:avLst/>
        </a:prstGeom>
      </xdr:spPr>
    </xdr:pic>
    <xdr:clientData/>
  </xdr:twoCellAnchor>
  <xdr:twoCellAnchor editAs="oneCell">
    <xdr:from>
      <xdr:col>0</xdr:col>
      <xdr:colOff>0</xdr:colOff>
      <xdr:row>9</xdr:row>
      <xdr:rowOff>28575</xdr:rowOff>
    </xdr:from>
    <xdr:to>
      <xdr:col>26</xdr:col>
      <xdr:colOff>459686</xdr:colOff>
      <xdr:row>24</xdr:row>
      <xdr:rowOff>375</xdr:rowOff>
    </xdr:to>
    <xdr:pic>
      <xdr:nvPicPr>
        <xdr:cNvPr id="9" name="Picture 8">
          <a:extLst>
            <a:ext uri="{FF2B5EF4-FFF2-40B4-BE49-F238E27FC236}">
              <a16:creationId xmlns:a16="http://schemas.microsoft.com/office/drawing/2014/main" id="{CDD7970D-4267-4DED-B297-B36D9DEB5E5D}"/>
            </a:ext>
          </a:extLst>
        </xdr:cNvPr>
        <xdr:cNvPicPr>
          <a:picLocks noChangeAspect="1"/>
        </xdr:cNvPicPr>
      </xdr:nvPicPr>
      <xdr:blipFill>
        <a:blip xmlns:r="http://schemas.openxmlformats.org/officeDocument/2006/relationships" r:embed="rId1"/>
        <a:stretch>
          <a:fillRect/>
        </a:stretch>
      </xdr:blipFill>
      <xdr:spPr>
        <a:xfrm>
          <a:off x="0" y="1657350"/>
          <a:ext cx="17814236" cy="26896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96454</xdr:colOff>
      <xdr:row>16</xdr:row>
      <xdr:rowOff>152825</xdr:rowOff>
    </xdr:to>
    <xdr:pic>
      <xdr:nvPicPr>
        <xdr:cNvPr id="2" name="Picture 1">
          <a:extLst>
            <a:ext uri="{FF2B5EF4-FFF2-40B4-BE49-F238E27FC236}">
              <a16:creationId xmlns:a16="http://schemas.microsoft.com/office/drawing/2014/main" id="{E9342A63-9CE1-E538-3AB8-920B0595FE47}"/>
            </a:ext>
          </a:extLst>
        </xdr:cNvPr>
        <xdr:cNvPicPr>
          <a:picLocks noChangeAspect="1"/>
        </xdr:cNvPicPr>
      </xdr:nvPicPr>
      <xdr:blipFill>
        <a:blip xmlns:r="http://schemas.openxmlformats.org/officeDocument/2006/relationships" r:embed="rId1"/>
        <a:stretch>
          <a:fillRect/>
        </a:stretch>
      </xdr:blipFill>
      <xdr:spPr>
        <a:xfrm>
          <a:off x="0" y="0"/>
          <a:ext cx="8630854" cy="30484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mailto:farid.nakhli@itu.int" TargetMode="External"/><Relationship Id="rId2" Type="http://schemas.openxmlformats.org/officeDocument/2006/relationships/hyperlink" Target="mailto:Ashish.Narayan@itu.int" TargetMode="External"/><Relationship Id="rId1" Type="http://schemas.openxmlformats.org/officeDocument/2006/relationships/hyperlink" Target="mailto:jody.van@itu.int" TargetMode="External"/><Relationship Id="rId6" Type="http://schemas.openxmlformats.org/officeDocument/2006/relationships/hyperlink" Target="mailto:anne.rita.ssemboga@itu.int" TargetMode="External"/><Relationship Id="rId5" Type="http://schemas.openxmlformats.org/officeDocument/2006/relationships/hyperlink" Target="mailto:valentina.stadnic@itu.int" TargetMode="External"/><Relationship Id="rId4" Type="http://schemas.openxmlformats.org/officeDocument/2006/relationships/hyperlink" Target="mailto:riham.fakhry@itu.int"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linkedin.com/in/tambetartma/" TargetMode="External"/><Relationship Id="rId13" Type="http://schemas.openxmlformats.org/officeDocument/2006/relationships/hyperlink" Target="https://www.linkedin.com/in/bramhanand-jha-pmp-0978a129/" TargetMode="External"/><Relationship Id="rId18" Type="http://schemas.openxmlformats.org/officeDocument/2006/relationships/hyperlink" Target="https://www.linkedin.com/in/marushkachocobar/" TargetMode="External"/><Relationship Id="rId3" Type="http://schemas.openxmlformats.org/officeDocument/2006/relationships/hyperlink" Target="https://www.linkedin.com/in/ingmarvali/" TargetMode="External"/><Relationship Id="rId7" Type="http://schemas.openxmlformats.org/officeDocument/2006/relationships/hyperlink" Target="https://www.linkedin.com/in/ainaaviksoo/" TargetMode="External"/><Relationship Id="rId12" Type="http://schemas.openxmlformats.org/officeDocument/2006/relationships/hyperlink" Target="https://www.linkedin.com/in/faraimuteroza/" TargetMode="External"/><Relationship Id="rId17" Type="http://schemas.openxmlformats.org/officeDocument/2006/relationships/hyperlink" Target="https://www.linkedin.com/in/dr-ramkumar-permachanahalli-5100648a/" TargetMode="External"/><Relationship Id="rId2" Type="http://schemas.openxmlformats.org/officeDocument/2006/relationships/hyperlink" Target="https://www.linkedin.com/in/aleksander-reitsakas/" TargetMode="External"/><Relationship Id="rId16" Type="http://schemas.openxmlformats.org/officeDocument/2006/relationships/hyperlink" Target="https://www.linkedin.com/in/maksim-ovtsinnikov/" TargetMode="External"/><Relationship Id="rId1" Type="http://schemas.openxmlformats.org/officeDocument/2006/relationships/hyperlink" Target="https://www.linkedin.com/in/taylordowns2000/" TargetMode="External"/><Relationship Id="rId6" Type="http://schemas.openxmlformats.org/officeDocument/2006/relationships/hyperlink" Target="https://www.linkedin.com/in/jaumedubois/" TargetMode="External"/><Relationship Id="rId11" Type="http://schemas.openxmlformats.org/officeDocument/2006/relationships/hyperlink" Target="https://www.linkedin.com/in/aarelaponin/" TargetMode="External"/><Relationship Id="rId5" Type="http://schemas.openxmlformats.org/officeDocument/2006/relationships/hyperlink" Target="https://www.linkedin.com/in/martin-karner-1865378/" TargetMode="External"/><Relationship Id="rId15" Type="http://schemas.openxmlformats.org/officeDocument/2006/relationships/hyperlink" Target="https://www.linkedin.com/in/lalchandran/" TargetMode="External"/><Relationship Id="rId10" Type="http://schemas.openxmlformats.org/officeDocument/2006/relationships/hyperlink" Target="https://www.linkedin.com/in/arnold-kibuuka/" TargetMode="External"/><Relationship Id="rId4" Type="http://schemas.openxmlformats.org/officeDocument/2006/relationships/hyperlink" Target="https://www.linkedin.com/in/vijaymauree/" TargetMode="External"/><Relationship Id="rId9" Type="http://schemas.openxmlformats.org/officeDocument/2006/relationships/hyperlink" Target="https://www.linkedin.com/in/oscarcorreia/" TargetMode="External"/><Relationship Id="rId14" Type="http://schemas.openxmlformats.org/officeDocument/2006/relationships/hyperlink" Target="https://www.linkedin.com/in/satyajitsuri/"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specs.govstack.global/registration" TargetMode="External"/><Relationship Id="rId13" Type="http://schemas.openxmlformats.org/officeDocument/2006/relationships/hyperlink" Target="https://specs.govstack.global/scheduler" TargetMode="External"/><Relationship Id="rId18" Type="http://schemas.openxmlformats.org/officeDocument/2006/relationships/hyperlink" Target="https://specs.govstack.global/wallet" TargetMode="External"/><Relationship Id="rId3" Type="http://schemas.openxmlformats.org/officeDocument/2006/relationships/hyperlink" Target="https://sandbox.govstack.global/" TargetMode="External"/><Relationship Id="rId21" Type="http://schemas.openxmlformats.org/officeDocument/2006/relationships/hyperlink" Target="https://govstack.gitbook.io/implementation-playbook/service-design" TargetMode="External"/><Relationship Id="rId7" Type="http://schemas.openxmlformats.org/officeDocument/2006/relationships/hyperlink" Target="https://specs.govstack.global/cloud-infrastructure" TargetMode="External"/><Relationship Id="rId12" Type="http://schemas.openxmlformats.org/officeDocument/2006/relationships/hyperlink" Target="https://specs.govstack.global/payments" TargetMode="External"/><Relationship Id="rId17" Type="http://schemas.openxmlformats.org/officeDocument/2006/relationships/hyperlink" Target="https://specs.govstack.global/esignature" TargetMode="External"/><Relationship Id="rId2" Type="http://schemas.openxmlformats.org/officeDocument/2006/relationships/hyperlink" Target="https://github.com/GovStackWorkingGroup" TargetMode="External"/><Relationship Id="rId16" Type="http://schemas.openxmlformats.org/officeDocument/2006/relationships/hyperlink" Target="https://specs.govstack.global/emarketplace" TargetMode="External"/><Relationship Id="rId20" Type="http://schemas.openxmlformats.org/officeDocument/2006/relationships/hyperlink" Target="https://specs.govstack.global/paera" TargetMode="External"/><Relationship Id="rId1" Type="http://schemas.openxmlformats.org/officeDocument/2006/relationships/hyperlink" Target="https://govstack.gitbook.io/implementation-playbook" TargetMode="External"/><Relationship Id="rId6" Type="http://schemas.openxmlformats.org/officeDocument/2006/relationships/hyperlink" Target="https://specs.govstack.global/architecture" TargetMode="External"/><Relationship Id="rId11" Type="http://schemas.openxmlformats.org/officeDocument/2006/relationships/hyperlink" Target="https://specs.govstack.global/messaging" TargetMode="External"/><Relationship Id="rId5" Type="http://schemas.openxmlformats.org/officeDocument/2006/relationships/hyperlink" Target="https://specs.govstack.global/consent" TargetMode="External"/><Relationship Id="rId15" Type="http://schemas.openxmlformats.org/officeDocument/2006/relationships/hyperlink" Target="https://specs.govstack.global/content-management-system" TargetMode="External"/><Relationship Id="rId10" Type="http://schemas.openxmlformats.org/officeDocument/2006/relationships/hyperlink" Target="https://govstack.gitbook.io/bb-workflow/" TargetMode="External"/><Relationship Id="rId19" Type="http://schemas.openxmlformats.org/officeDocument/2006/relationships/hyperlink" Target="https://specs.govstack.global/gis" TargetMode="External"/><Relationship Id="rId4" Type="http://schemas.openxmlformats.org/officeDocument/2006/relationships/hyperlink" Target="https://specs.govstack.global/identity" TargetMode="External"/><Relationship Id="rId9" Type="http://schemas.openxmlformats.org/officeDocument/2006/relationships/hyperlink" Target="https://specs.govstack.global/information-mediator" TargetMode="External"/><Relationship Id="rId14" Type="http://schemas.openxmlformats.org/officeDocument/2006/relationships/hyperlink" Target="https://specs.govstack.global/registries" TargetMode="External"/><Relationship Id="rId22" Type="http://schemas.openxmlformats.org/officeDocument/2006/relationships/hyperlink" Target="https://govstack.global/women-in-govtech-challenge/"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014C4-6F74-4955-91D1-660E93068F65}">
  <dimension ref="A1:K997"/>
  <sheetViews>
    <sheetView tabSelected="1" topLeftCell="A14" workbookViewId="0">
      <selection activeCell="E39" sqref="E39"/>
    </sheetView>
  </sheetViews>
  <sheetFormatPr defaultColWidth="8.7109375" defaultRowHeight="14.45"/>
  <cols>
    <col min="1" max="1" width="8.7109375" style="4"/>
    <col min="2" max="2" width="12.28515625" style="4" customWidth="1"/>
    <col min="3" max="3" width="22.140625" style="4" customWidth="1"/>
    <col min="4" max="4" width="9.85546875" style="4" bestFit="1" customWidth="1"/>
    <col min="5" max="5" width="48" style="4" customWidth="1"/>
    <col min="6" max="6" width="11.5703125" style="4" customWidth="1"/>
    <col min="7" max="7" width="27.5703125" style="4" customWidth="1"/>
    <col min="8" max="9" width="22.5703125" style="4" customWidth="1"/>
    <col min="10" max="16384" width="8.7109375" style="4"/>
  </cols>
  <sheetData>
    <row r="1" spans="1:11">
      <c r="B1" s="5" t="s">
        <v>0</v>
      </c>
      <c r="C1" s="5" t="s">
        <v>1</v>
      </c>
      <c r="D1" s="5" t="s">
        <v>2</v>
      </c>
      <c r="E1" s="5" t="s">
        <v>3</v>
      </c>
      <c r="F1" s="5" t="s">
        <v>4</v>
      </c>
      <c r="G1" s="5" t="s">
        <v>5</v>
      </c>
      <c r="H1" s="5" t="s">
        <v>6</v>
      </c>
      <c r="I1" s="5" t="s">
        <v>7</v>
      </c>
      <c r="J1" s="5" t="s">
        <v>8</v>
      </c>
      <c r="K1" s="5" t="s">
        <v>9</v>
      </c>
    </row>
    <row r="2" spans="1:11">
      <c r="A2" s="6" t="s">
        <v>10</v>
      </c>
      <c r="B2" s="6" t="s">
        <v>11</v>
      </c>
      <c r="C2" s="6" t="s">
        <v>12</v>
      </c>
      <c r="D2" s="6" t="s">
        <v>13</v>
      </c>
      <c r="E2" s="6" t="s">
        <v>14</v>
      </c>
      <c r="F2" s="6" t="s">
        <v>15</v>
      </c>
      <c r="G2" s="6"/>
      <c r="H2" s="6"/>
      <c r="I2" s="6"/>
      <c r="J2" s="6" t="s">
        <v>16</v>
      </c>
      <c r="K2" s="6" t="s">
        <v>17</v>
      </c>
    </row>
    <row r="3" spans="1:11">
      <c r="B3" s="4" t="s">
        <v>18</v>
      </c>
      <c r="C3" s="7" t="s">
        <v>19</v>
      </c>
      <c r="D3" s="7" t="s">
        <v>13</v>
      </c>
      <c r="E3" s="8" t="s">
        <v>20</v>
      </c>
      <c r="F3" s="7" t="s">
        <v>21</v>
      </c>
      <c r="G3" s="7" t="s">
        <v>22</v>
      </c>
      <c r="H3" s="7"/>
      <c r="I3" s="7"/>
      <c r="J3" s="7"/>
    </row>
    <row r="4" spans="1:11">
      <c r="B4" s="4" t="s">
        <v>18</v>
      </c>
      <c r="C4" s="7" t="s">
        <v>23</v>
      </c>
      <c r="D4" s="7" t="s">
        <v>13</v>
      </c>
      <c r="E4" s="8" t="s">
        <v>24</v>
      </c>
      <c r="F4" s="7" t="s">
        <v>25</v>
      </c>
      <c r="G4" s="7" t="s">
        <v>22</v>
      </c>
      <c r="H4" s="7"/>
      <c r="I4" s="7"/>
      <c r="J4" s="7"/>
    </row>
    <row r="5" spans="1:11">
      <c r="B5" s="4" t="s">
        <v>18</v>
      </c>
      <c r="C5" s="7" t="s">
        <v>26</v>
      </c>
      <c r="D5" s="7" t="s">
        <v>13</v>
      </c>
      <c r="E5" s="8" t="s">
        <v>27</v>
      </c>
      <c r="F5" s="7" t="s">
        <v>25</v>
      </c>
      <c r="G5" s="7" t="s">
        <v>22</v>
      </c>
      <c r="H5" s="7"/>
      <c r="I5" s="7"/>
      <c r="J5" s="7"/>
    </row>
    <row r="6" spans="1:11">
      <c r="B6" s="4" t="s">
        <v>18</v>
      </c>
      <c r="C6" s="7" t="s">
        <v>28</v>
      </c>
      <c r="D6" s="7" t="s">
        <v>13</v>
      </c>
      <c r="E6" s="8" t="s">
        <v>29</v>
      </c>
      <c r="F6" s="7" t="s">
        <v>25</v>
      </c>
      <c r="G6" s="7" t="s">
        <v>22</v>
      </c>
      <c r="H6" s="7"/>
      <c r="I6" s="7"/>
      <c r="J6" s="7"/>
    </row>
    <row r="7" spans="1:11">
      <c r="B7" s="4" t="s">
        <v>18</v>
      </c>
      <c r="C7" s="7" t="s">
        <v>30</v>
      </c>
      <c r="D7" s="7" t="s">
        <v>13</v>
      </c>
      <c r="E7" s="8" t="s">
        <v>31</v>
      </c>
      <c r="F7" s="7" t="s">
        <v>25</v>
      </c>
      <c r="G7" s="7" t="s">
        <v>22</v>
      </c>
      <c r="H7" s="7"/>
      <c r="I7" s="7"/>
      <c r="J7" s="7"/>
    </row>
    <row r="8" spans="1:11">
      <c r="B8" s="4" t="s">
        <v>18</v>
      </c>
      <c r="C8" s="7" t="s">
        <v>32</v>
      </c>
      <c r="D8" s="7" t="s">
        <v>13</v>
      </c>
      <c r="E8" s="8" t="s">
        <v>33</v>
      </c>
      <c r="F8" s="7" t="s">
        <v>25</v>
      </c>
      <c r="G8" s="7" t="s">
        <v>22</v>
      </c>
      <c r="H8" s="7"/>
      <c r="I8" s="7"/>
      <c r="J8" s="7"/>
    </row>
    <row r="9" spans="1:11">
      <c r="B9" s="4" t="s">
        <v>18</v>
      </c>
      <c r="C9" s="7" t="s">
        <v>34</v>
      </c>
      <c r="D9" s="7" t="s">
        <v>13</v>
      </c>
      <c r="E9" s="8" t="s">
        <v>35</v>
      </c>
      <c r="F9" s="7" t="s">
        <v>21</v>
      </c>
      <c r="G9" s="7" t="s">
        <v>22</v>
      </c>
      <c r="H9" s="7"/>
      <c r="I9" s="7"/>
      <c r="J9" s="7"/>
    </row>
    <row r="10" spans="1:11">
      <c r="B10" s="4" t="s">
        <v>18</v>
      </c>
      <c r="C10" s="7" t="s">
        <v>36</v>
      </c>
      <c r="D10" s="7" t="s">
        <v>13</v>
      </c>
      <c r="E10" s="8" t="s">
        <v>37</v>
      </c>
      <c r="F10" s="7" t="s">
        <v>25</v>
      </c>
      <c r="G10" s="7" t="s">
        <v>22</v>
      </c>
      <c r="H10" s="7"/>
      <c r="I10" s="7"/>
      <c r="J10" s="7"/>
    </row>
    <row r="11" spans="1:11">
      <c r="B11" s="4" t="s">
        <v>18</v>
      </c>
      <c r="C11" s="7" t="s">
        <v>38</v>
      </c>
      <c r="D11" s="7" t="s">
        <v>13</v>
      </c>
      <c r="E11" s="8"/>
      <c r="F11" s="7" t="s">
        <v>25</v>
      </c>
      <c r="G11" s="7" t="s">
        <v>22</v>
      </c>
      <c r="H11" s="7"/>
      <c r="I11" s="7"/>
      <c r="J11" s="7"/>
    </row>
    <row r="12" spans="1:11">
      <c r="B12" s="4" t="s">
        <v>18</v>
      </c>
      <c r="C12" s="7" t="s">
        <v>39</v>
      </c>
      <c r="D12" s="7" t="s">
        <v>13</v>
      </c>
      <c r="E12" s="8"/>
      <c r="F12" s="7" t="s">
        <v>25</v>
      </c>
      <c r="G12" s="7" t="s">
        <v>22</v>
      </c>
      <c r="H12" s="7"/>
      <c r="I12" s="7"/>
      <c r="J12" s="7"/>
    </row>
    <row r="13" spans="1:11" ht="29.1">
      <c r="B13" s="4" t="s">
        <v>18</v>
      </c>
      <c r="C13" s="7" t="s">
        <v>40</v>
      </c>
      <c r="D13" s="7" t="s">
        <v>13</v>
      </c>
      <c r="E13" s="8" t="s">
        <v>41</v>
      </c>
      <c r="F13" s="7" t="s">
        <v>21</v>
      </c>
      <c r="G13" s="7" t="s">
        <v>22</v>
      </c>
      <c r="H13" s="7"/>
      <c r="I13" s="7"/>
      <c r="J13" s="7"/>
    </row>
    <row r="14" spans="1:11">
      <c r="B14" s="4" t="s">
        <v>18</v>
      </c>
      <c r="C14" s="7" t="s">
        <v>42</v>
      </c>
      <c r="D14" s="7" t="s">
        <v>13</v>
      </c>
      <c r="E14" s="8" t="s">
        <v>43</v>
      </c>
      <c r="F14" s="7" t="s">
        <v>25</v>
      </c>
      <c r="G14" s="7" t="s">
        <v>22</v>
      </c>
      <c r="H14" s="7"/>
      <c r="I14" s="7"/>
      <c r="J14" s="7"/>
    </row>
    <row r="15" spans="1:11">
      <c r="B15" s="4" t="s">
        <v>18</v>
      </c>
      <c r="C15" s="7" t="s">
        <v>44</v>
      </c>
      <c r="D15" s="7" t="s">
        <v>13</v>
      </c>
      <c r="E15" s="8" t="s">
        <v>31</v>
      </c>
      <c r="F15" s="7" t="s">
        <v>25</v>
      </c>
      <c r="G15" s="7" t="s">
        <v>22</v>
      </c>
      <c r="H15" s="7"/>
      <c r="I15" s="7"/>
      <c r="J15" s="7"/>
    </row>
    <row r="16" spans="1:11" ht="29.1">
      <c r="B16" s="4" t="s">
        <v>18</v>
      </c>
      <c r="C16" s="7" t="s">
        <v>45</v>
      </c>
      <c r="D16" s="7" t="s">
        <v>13</v>
      </c>
      <c r="E16" s="8" t="s">
        <v>46</v>
      </c>
      <c r="F16" s="7" t="s">
        <v>21</v>
      </c>
      <c r="G16" s="7" t="s">
        <v>22</v>
      </c>
      <c r="H16" s="7"/>
      <c r="I16" s="7"/>
      <c r="J16" s="7"/>
    </row>
    <row r="17" spans="2:10" ht="43.5">
      <c r="B17" s="4" t="s">
        <v>18</v>
      </c>
      <c r="C17" s="7" t="s">
        <v>47</v>
      </c>
      <c r="D17" s="7" t="s">
        <v>13</v>
      </c>
      <c r="E17" s="8" t="s">
        <v>48</v>
      </c>
      <c r="F17" s="7" t="s">
        <v>21</v>
      </c>
      <c r="G17" s="7" t="s">
        <v>22</v>
      </c>
      <c r="H17" s="7"/>
      <c r="I17" s="7"/>
      <c r="J17" s="7"/>
    </row>
    <row r="18" spans="2:10">
      <c r="B18" s="4" t="s">
        <v>18</v>
      </c>
      <c r="C18" s="7" t="s">
        <v>49</v>
      </c>
      <c r="D18" s="7" t="s">
        <v>13</v>
      </c>
      <c r="E18" s="8" t="s">
        <v>50</v>
      </c>
      <c r="F18" s="7" t="s">
        <v>15</v>
      </c>
      <c r="G18" s="7" t="s">
        <v>22</v>
      </c>
      <c r="H18" s="7"/>
      <c r="I18" s="7"/>
      <c r="J18" s="7"/>
    </row>
    <row r="19" spans="2:10">
      <c r="B19" s="4" t="s">
        <v>11</v>
      </c>
      <c r="C19" s="7" t="s">
        <v>51</v>
      </c>
      <c r="D19" s="7" t="s">
        <v>13</v>
      </c>
      <c r="E19" s="8" t="s">
        <v>52</v>
      </c>
      <c r="F19" s="7" t="s">
        <v>15</v>
      </c>
      <c r="G19" s="7" t="s">
        <v>53</v>
      </c>
      <c r="H19" s="7"/>
      <c r="I19" s="7"/>
      <c r="J19" s="7"/>
    </row>
    <row r="20" spans="2:10">
      <c r="B20" s="4" t="s">
        <v>54</v>
      </c>
      <c r="C20" s="7" t="s">
        <v>55</v>
      </c>
      <c r="D20" s="7" t="s">
        <v>13</v>
      </c>
      <c r="E20" s="4" t="s">
        <v>56</v>
      </c>
      <c r="F20" s="7" t="s">
        <v>21</v>
      </c>
      <c r="G20" s="4" t="s">
        <v>57</v>
      </c>
    </row>
    <row r="21" spans="2:10">
      <c r="B21" s="4" t="s">
        <v>58</v>
      </c>
      <c r="C21" s="7" t="s">
        <v>59</v>
      </c>
      <c r="D21" s="7" t="s">
        <v>13</v>
      </c>
      <c r="E21" s="7" t="s">
        <v>60</v>
      </c>
      <c r="F21" s="7" t="s">
        <v>21</v>
      </c>
      <c r="G21" s="7" t="s">
        <v>61</v>
      </c>
      <c r="H21" s="7"/>
      <c r="I21" s="7"/>
    </row>
    <row r="22" spans="2:10">
      <c r="B22" s="4" t="s">
        <v>18</v>
      </c>
      <c r="C22" s="7" t="s">
        <v>62</v>
      </c>
      <c r="D22" s="7" t="s">
        <v>13</v>
      </c>
      <c r="F22" s="7" t="s">
        <v>21</v>
      </c>
      <c r="G22" s="7" t="s">
        <v>22</v>
      </c>
      <c r="H22" s="7"/>
      <c r="I22" s="7"/>
    </row>
    <row r="23" spans="2:10">
      <c r="B23" s="4" t="s">
        <v>11</v>
      </c>
      <c r="C23" s="7" t="s">
        <v>63</v>
      </c>
      <c r="D23" s="7" t="s">
        <v>13</v>
      </c>
      <c r="F23" s="7" t="s">
        <v>15</v>
      </c>
      <c r="G23" s="7" t="s">
        <v>53</v>
      </c>
      <c r="H23" s="7"/>
      <c r="I23" s="7"/>
    </row>
    <row r="24" spans="2:10">
      <c r="B24" s="4" t="s">
        <v>11</v>
      </c>
      <c r="C24" s="7" t="s">
        <v>64</v>
      </c>
      <c r="D24" s="7" t="s">
        <v>13</v>
      </c>
      <c r="F24" s="7" t="s">
        <v>15</v>
      </c>
      <c r="G24" s="4" t="s">
        <v>65</v>
      </c>
    </row>
    <row r="25" spans="2:10">
      <c r="B25" s="4" t="s">
        <v>66</v>
      </c>
      <c r="C25" s="7" t="s">
        <v>67</v>
      </c>
      <c r="D25" s="7" t="s">
        <v>13</v>
      </c>
      <c r="E25" s="4" t="s">
        <v>68</v>
      </c>
      <c r="F25" s="7" t="s">
        <v>15</v>
      </c>
      <c r="G25" s="7" t="s">
        <v>69</v>
      </c>
      <c r="H25" s="7"/>
      <c r="I25" s="7"/>
    </row>
    <row r="26" spans="2:10">
      <c r="B26" s="4" t="s">
        <v>58</v>
      </c>
      <c r="C26" s="7" t="s">
        <v>70</v>
      </c>
      <c r="D26" s="7" t="s">
        <v>13</v>
      </c>
      <c r="F26" s="7" t="s">
        <v>21</v>
      </c>
      <c r="G26" s="7" t="s">
        <v>69</v>
      </c>
      <c r="H26" s="7"/>
      <c r="I26" s="7"/>
    </row>
    <row r="27" spans="2:10">
      <c r="B27" s="4" t="s">
        <v>11</v>
      </c>
      <c r="C27" s="7" t="s">
        <v>71</v>
      </c>
      <c r="D27" s="7" t="s">
        <v>13</v>
      </c>
      <c r="F27" s="7" t="s">
        <v>21</v>
      </c>
      <c r="G27" s="7"/>
      <c r="H27" s="7"/>
      <c r="I27" s="7"/>
    </row>
    <row r="28" spans="2:10">
      <c r="B28" s="4" t="s">
        <v>11</v>
      </c>
      <c r="C28" s="7" t="s">
        <v>72</v>
      </c>
      <c r="D28" s="7" t="s">
        <v>13</v>
      </c>
      <c r="F28" s="7" t="s">
        <v>25</v>
      </c>
      <c r="G28" s="7" t="s">
        <v>73</v>
      </c>
      <c r="H28" s="7"/>
      <c r="I28" s="7"/>
    </row>
    <row r="29" spans="2:10" ht="15.95">
      <c r="B29" s="4" t="s">
        <v>11</v>
      </c>
      <c r="C29" s="4" t="s">
        <v>51</v>
      </c>
      <c r="D29" s="7" t="s">
        <v>13</v>
      </c>
      <c r="E29" s="7" t="s">
        <v>74</v>
      </c>
      <c r="F29" s="7" t="s">
        <v>25</v>
      </c>
      <c r="G29" s="7" t="s">
        <v>53</v>
      </c>
      <c r="H29" s="7"/>
      <c r="I29" s="7"/>
    </row>
    <row r="30" spans="2:10">
      <c r="B30" s="4" t="s">
        <v>11</v>
      </c>
      <c r="C30" s="4" t="s">
        <v>75</v>
      </c>
      <c r="D30" s="7" t="s">
        <v>13</v>
      </c>
      <c r="E30" s="4" t="s">
        <v>76</v>
      </c>
      <c r="F30" s="4" t="s">
        <v>21</v>
      </c>
      <c r="G30" s="7" t="s">
        <v>77</v>
      </c>
      <c r="H30" s="7"/>
      <c r="I30" s="7"/>
    </row>
    <row r="31" spans="2:10">
      <c r="B31" s="4" t="s">
        <v>11</v>
      </c>
      <c r="C31" s="4" t="s">
        <v>78</v>
      </c>
      <c r="D31" s="7" t="s">
        <v>13</v>
      </c>
      <c r="E31" s="4" t="s">
        <v>76</v>
      </c>
      <c r="F31" s="4" t="s">
        <v>21</v>
      </c>
      <c r="G31" s="7" t="s">
        <v>77</v>
      </c>
      <c r="H31" s="7"/>
      <c r="I31" s="7"/>
    </row>
    <row r="32" spans="2:10">
      <c r="B32" s="4" t="s">
        <v>66</v>
      </c>
      <c r="C32" s="4" t="s">
        <v>12</v>
      </c>
      <c r="D32" s="7" t="s">
        <v>13</v>
      </c>
      <c r="E32" s="4" t="s">
        <v>79</v>
      </c>
      <c r="F32" s="4" t="s">
        <v>21</v>
      </c>
      <c r="G32" s="7" t="s">
        <v>69</v>
      </c>
      <c r="H32" s="7"/>
      <c r="I32" s="7"/>
    </row>
    <row r="33" spans="2:9" ht="43.5">
      <c r="B33" s="4" t="s">
        <v>54</v>
      </c>
      <c r="C33" s="4" t="s">
        <v>80</v>
      </c>
      <c r="D33" s="12" t="s">
        <v>13</v>
      </c>
      <c r="E33" s="13" t="s">
        <v>81</v>
      </c>
      <c r="G33" s="7"/>
      <c r="H33" s="7"/>
      <c r="I33" s="7"/>
    </row>
    <row r="34" spans="2:9">
      <c r="B34" s="4" t="s">
        <v>11</v>
      </c>
      <c r="C34" s="4" t="s">
        <v>82</v>
      </c>
      <c r="D34" s="12" t="s">
        <v>13</v>
      </c>
      <c r="E34" s="4" t="s">
        <v>83</v>
      </c>
      <c r="F34" s="7" t="s">
        <v>25</v>
      </c>
      <c r="G34" s="6"/>
      <c r="H34" s="6"/>
      <c r="I34" s="6"/>
    </row>
    <row r="35" spans="2:9">
      <c r="G35" s="6"/>
      <c r="H35" s="6"/>
      <c r="I35" s="6"/>
    </row>
    <row r="36" spans="2:9">
      <c r="G36" s="6"/>
      <c r="H36" s="6"/>
      <c r="I36" s="6"/>
    </row>
    <row r="37" spans="2:9">
      <c r="G37" s="6"/>
      <c r="H37" s="6"/>
      <c r="I37" s="6"/>
    </row>
    <row r="38" spans="2:9">
      <c r="G38" s="6"/>
      <c r="H38" s="6"/>
      <c r="I38" s="6"/>
    </row>
    <row r="39" spans="2:9">
      <c r="G39" s="6"/>
      <c r="H39" s="6"/>
      <c r="I39" s="6"/>
    </row>
    <row r="40" spans="2:9">
      <c r="G40" s="6"/>
      <c r="H40" s="6"/>
      <c r="I40" s="6"/>
    </row>
    <row r="41" spans="2:9">
      <c r="G41" s="6"/>
      <c r="H41" s="6"/>
      <c r="I41" s="6"/>
    </row>
    <row r="42" spans="2:9">
      <c r="G42" s="6"/>
      <c r="H42" s="6"/>
      <c r="I42" s="6"/>
    </row>
    <row r="43" spans="2:9">
      <c r="G43" s="6"/>
      <c r="H43" s="6"/>
      <c r="I43" s="6"/>
    </row>
    <row r="44" spans="2:9">
      <c r="G44" s="6"/>
      <c r="H44" s="6"/>
      <c r="I44" s="6"/>
    </row>
    <row r="45" spans="2:9">
      <c r="G45" s="6"/>
      <c r="H45" s="6"/>
      <c r="I45" s="6"/>
    </row>
    <row r="46" spans="2:9">
      <c r="G46" s="6"/>
      <c r="H46" s="6"/>
      <c r="I46" s="6"/>
    </row>
    <row r="47" spans="2:9">
      <c r="G47" s="6"/>
      <c r="H47" s="6"/>
      <c r="I47" s="6"/>
    </row>
    <row r="48" spans="2:9">
      <c r="G48" s="6"/>
      <c r="H48" s="6"/>
      <c r="I48" s="6"/>
    </row>
    <row r="49" spans="7:9">
      <c r="G49" s="6"/>
      <c r="H49" s="6"/>
      <c r="I49" s="6"/>
    </row>
    <row r="50" spans="7:9">
      <c r="G50" s="6"/>
      <c r="H50" s="6"/>
      <c r="I50" s="6"/>
    </row>
    <row r="51" spans="7:9">
      <c r="G51" s="6"/>
      <c r="H51" s="6"/>
      <c r="I51" s="6"/>
    </row>
    <row r="52" spans="7:9">
      <c r="G52" s="6"/>
      <c r="H52" s="6"/>
      <c r="I52" s="6"/>
    </row>
    <row r="53" spans="7:9">
      <c r="G53" s="6"/>
      <c r="H53" s="6"/>
      <c r="I53" s="6"/>
    </row>
    <row r="54" spans="7:9">
      <c r="G54" s="6"/>
      <c r="H54" s="6"/>
      <c r="I54" s="6"/>
    </row>
    <row r="55" spans="7:9">
      <c r="G55" s="6"/>
      <c r="H55" s="6"/>
      <c r="I55" s="6"/>
    </row>
    <row r="56" spans="7:9">
      <c r="G56" s="6"/>
      <c r="H56" s="6"/>
      <c r="I56" s="6"/>
    </row>
    <row r="57" spans="7:9">
      <c r="G57" s="6"/>
      <c r="H57" s="6"/>
      <c r="I57" s="6"/>
    </row>
    <row r="58" spans="7:9">
      <c r="G58" s="6"/>
      <c r="H58" s="6"/>
      <c r="I58" s="6"/>
    </row>
    <row r="59" spans="7:9">
      <c r="G59" s="6"/>
      <c r="H59" s="6"/>
      <c r="I59" s="6"/>
    </row>
    <row r="60" spans="7:9">
      <c r="G60" s="6"/>
      <c r="H60" s="6"/>
      <c r="I60" s="6"/>
    </row>
    <row r="61" spans="7:9">
      <c r="G61" s="6"/>
      <c r="H61" s="6"/>
      <c r="I61" s="6"/>
    </row>
    <row r="62" spans="7:9">
      <c r="G62" s="6"/>
      <c r="H62" s="6"/>
      <c r="I62" s="6"/>
    </row>
    <row r="63" spans="7:9">
      <c r="G63" s="6"/>
      <c r="H63" s="6"/>
      <c r="I63" s="6"/>
    </row>
    <row r="64" spans="7:9">
      <c r="G64" s="6"/>
      <c r="H64" s="6"/>
      <c r="I64" s="6"/>
    </row>
    <row r="65" spans="7:9">
      <c r="G65" s="6"/>
      <c r="H65" s="6"/>
      <c r="I65" s="6"/>
    </row>
    <row r="66" spans="7:9">
      <c r="G66" s="6"/>
      <c r="H66" s="6"/>
      <c r="I66" s="6"/>
    </row>
    <row r="67" spans="7:9">
      <c r="G67" s="6"/>
      <c r="H67" s="6"/>
      <c r="I67" s="6"/>
    </row>
    <row r="68" spans="7:9">
      <c r="G68" s="6"/>
      <c r="H68" s="6"/>
      <c r="I68" s="6"/>
    </row>
    <row r="69" spans="7:9">
      <c r="G69" s="6"/>
      <c r="H69" s="6"/>
      <c r="I69" s="6"/>
    </row>
    <row r="70" spans="7:9">
      <c r="G70" s="6"/>
      <c r="H70" s="6"/>
      <c r="I70" s="6"/>
    </row>
    <row r="71" spans="7:9">
      <c r="G71" s="6"/>
      <c r="H71" s="6"/>
      <c r="I71" s="6"/>
    </row>
    <row r="72" spans="7:9">
      <c r="G72" s="6"/>
      <c r="H72" s="6"/>
      <c r="I72" s="6"/>
    </row>
    <row r="73" spans="7:9">
      <c r="G73" s="6"/>
      <c r="H73" s="6"/>
      <c r="I73" s="6"/>
    </row>
    <row r="74" spans="7:9">
      <c r="G74" s="6"/>
      <c r="H74" s="6"/>
      <c r="I74" s="6"/>
    </row>
    <row r="75" spans="7:9">
      <c r="G75" s="6"/>
      <c r="H75" s="6"/>
      <c r="I75" s="6"/>
    </row>
    <row r="76" spans="7:9">
      <c r="G76" s="6"/>
      <c r="H76" s="6"/>
      <c r="I76" s="6"/>
    </row>
    <row r="77" spans="7:9">
      <c r="G77" s="6"/>
      <c r="H77" s="6"/>
      <c r="I77" s="6"/>
    </row>
    <row r="78" spans="7:9">
      <c r="G78" s="6"/>
      <c r="H78" s="6"/>
      <c r="I78" s="6"/>
    </row>
    <row r="79" spans="7:9">
      <c r="G79" s="6"/>
      <c r="H79" s="6"/>
      <c r="I79" s="6"/>
    </row>
    <row r="80" spans="7:9">
      <c r="G80" s="6"/>
      <c r="H80" s="6"/>
      <c r="I80" s="6"/>
    </row>
    <row r="81" spans="7:9">
      <c r="G81" s="6"/>
      <c r="H81" s="6"/>
      <c r="I81" s="6"/>
    </row>
    <row r="82" spans="7:9">
      <c r="G82" s="6"/>
      <c r="H82" s="6"/>
      <c r="I82" s="6"/>
    </row>
    <row r="83" spans="7:9">
      <c r="G83" s="6"/>
      <c r="H83" s="6"/>
      <c r="I83" s="6"/>
    </row>
    <row r="84" spans="7:9">
      <c r="G84" s="6"/>
      <c r="H84" s="6"/>
      <c r="I84" s="6"/>
    </row>
    <row r="85" spans="7:9">
      <c r="G85" s="6"/>
      <c r="H85" s="6"/>
      <c r="I85" s="6"/>
    </row>
    <row r="86" spans="7:9">
      <c r="G86" s="6"/>
      <c r="H86" s="6"/>
      <c r="I86" s="6"/>
    </row>
    <row r="87" spans="7:9">
      <c r="G87" s="6"/>
      <c r="H87" s="6"/>
      <c r="I87" s="6"/>
    </row>
    <row r="88" spans="7:9">
      <c r="G88" s="6"/>
      <c r="H88" s="6"/>
      <c r="I88" s="6"/>
    </row>
    <row r="89" spans="7:9">
      <c r="G89" s="6"/>
      <c r="H89" s="6"/>
      <c r="I89" s="6"/>
    </row>
    <row r="90" spans="7:9">
      <c r="G90" s="6"/>
      <c r="H90" s="6"/>
      <c r="I90" s="6"/>
    </row>
    <row r="91" spans="7:9">
      <c r="G91" s="6"/>
      <c r="H91" s="6"/>
      <c r="I91" s="6"/>
    </row>
    <row r="92" spans="7:9">
      <c r="G92" s="6"/>
      <c r="H92" s="6"/>
      <c r="I92" s="6"/>
    </row>
    <row r="93" spans="7:9">
      <c r="G93" s="6"/>
      <c r="H93" s="6"/>
      <c r="I93" s="6"/>
    </row>
    <row r="94" spans="7:9">
      <c r="G94" s="6"/>
      <c r="H94" s="6"/>
      <c r="I94" s="6"/>
    </row>
    <row r="95" spans="7:9">
      <c r="G95" s="6"/>
      <c r="H95" s="6"/>
      <c r="I95" s="6"/>
    </row>
    <row r="96" spans="7:9">
      <c r="G96" s="6"/>
      <c r="H96" s="6"/>
      <c r="I96" s="6"/>
    </row>
    <row r="97" spans="7:9">
      <c r="G97" s="6"/>
      <c r="H97" s="6"/>
      <c r="I97" s="6"/>
    </row>
    <row r="98" spans="7:9">
      <c r="G98" s="6"/>
      <c r="H98" s="6"/>
      <c r="I98" s="6"/>
    </row>
    <row r="99" spans="7:9">
      <c r="G99" s="6"/>
      <c r="H99" s="6"/>
      <c r="I99" s="6"/>
    </row>
    <row r="100" spans="7:9">
      <c r="G100" s="6"/>
      <c r="H100" s="6"/>
      <c r="I100" s="6"/>
    </row>
    <row r="101" spans="7:9">
      <c r="G101" s="6"/>
      <c r="H101" s="6"/>
      <c r="I101" s="6"/>
    </row>
    <row r="102" spans="7:9">
      <c r="G102" s="6"/>
      <c r="H102" s="6"/>
      <c r="I102" s="6"/>
    </row>
    <row r="103" spans="7:9">
      <c r="G103" s="6"/>
      <c r="H103" s="6"/>
      <c r="I103" s="6"/>
    </row>
    <row r="104" spans="7:9">
      <c r="G104" s="6"/>
      <c r="H104" s="6"/>
      <c r="I104" s="6"/>
    </row>
    <row r="105" spans="7:9">
      <c r="G105" s="6"/>
      <c r="H105" s="6"/>
      <c r="I105" s="6"/>
    </row>
    <row r="106" spans="7:9">
      <c r="G106" s="6"/>
      <c r="H106" s="6"/>
      <c r="I106" s="6"/>
    </row>
    <row r="107" spans="7:9">
      <c r="G107" s="6"/>
      <c r="H107" s="6"/>
      <c r="I107" s="6"/>
    </row>
    <row r="108" spans="7:9">
      <c r="G108" s="6"/>
      <c r="H108" s="6"/>
      <c r="I108" s="6"/>
    </row>
    <row r="109" spans="7:9">
      <c r="G109" s="6"/>
      <c r="H109" s="6"/>
      <c r="I109" s="6"/>
    </row>
    <row r="110" spans="7:9">
      <c r="G110" s="6"/>
      <c r="H110" s="6"/>
      <c r="I110" s="6"/>
    </row>
    <row r="111" spans="7:9">
      <c r="G111" s="6"/>
      <c r="H111" s="6"/>
      <c r="I111" s="6"/>
    </row>
    <row r="112" spans="7:9">
      <c r="G112" s="6"/>
      <c r="H112" s="6"/>
      <c r="I112" s="6"/>
    </row>
    <row r="113" spans="7:9">
      <c r="G113" s="6"/>
      <c r="H113" s="6"/>
      <c r="I113" s="6"/>
    </row>
    <row r="114" spans="7:9">
      <c r="G114" s="6"/>
      <c r="H114" s="6"/>
      <c r="I114" s="6"/>
    </row>
    <row r="115" spans="7:9">
      <c r="G115" s="6"/>
      <c r="H115" s="6"/>
      <c r="I115" s="6"/>
    </row>
    <row r="116" spans="7:9">
      <c r="G116" s="6"/>
      <c r="H116" s="6"/>
      <c r="I116" s="6"/>
    </row>
    <row r="117" spans="7:9">
      <c r="G117" s="6"/>
      <c r="H117" s="6"/>
      <c r="I117" s="6"/>
    </row>
    <row r="118" spans="7:9">
      <c r="G118" s="6"/>
      <c r="H118" s="6"/>
      <c r="I118" s="6"/>
    </row>
    <row r="119" spans="7:9">
      <c r="G119" s="6"/>
      <c r="H119" s="6"/>
      <c r="I119" s="6"/>
    </row>
    <row r="120" spans="7:9">
      <c r="G120" s="6"/>
      <c r="H120" s="6"/>
      <c r="I120" s="6"/>
    </row>
    <row r="121" spans="7:9">
      <c r="G121" s="6"/>
      <c r="H121" s="6"/>
      <c r="I121" s="6"/>
    </row>
    <row r="122" spans="7:9">
      <c r="G122" s="6"/>
      <c r="H122" s="6"/>
      <c r="I122" s="6"/>
    </row>
    <row r="123" spans="7:9">
      <c r="G123" s="6"/>
      <c r="H123" s="6"/>
      <c r="I123" s="6"/>
    </row>
    <row r="124" spans="7:9">
      <c r="G124" s="6"/>
      <c r="H124" s="6"/>
      <c r="I124" s="6"/>
    </row>
    <row r="125" spans="7:9">
      <c r="G125" s="6"/>
      <c r="H125" s="6"/>
      <c r="I125" s="6"/>
    </row>
    <row r="126" spans="7:9">
      <c r="G126" s="6"/>
      <c r="H126" s="6"/>
      <c r="I126" s="6"/>
    </row>
    <row r="127" spans="7:9">
      <c r="G127" s="6"/>
      <c r="H127" s="6"/>
      <c r="I127" s="6"/>
    </row>
    <row r="128" spans="7:9">
      <c r="G128" s="6"/>
      <c r="H128" s="6"/>
      <c r="I128" s="6"/>
    </row>
    <row r="129" spans="7:9">
      <c r="G129" s="6"/>
      <c r="H129" s="6"/>
      <c r="I129" s="6"/>
    </row>
    <row r="130" spans="7:9">
      <c r="G130" s="6"/>
      <c r="H130" s="6"/>
      <c r="I130" s="6"/>
    </row>
    <row r="131" spans="7:9">
      <c r="G131" s="6"/>
      <c r="H131" s="6"/>
      <c r="I131" s="6"/>
    </row>
    <row r="132" spans="7:9">
      <c r="G132" s="6"/>
      <c r="H132" s="6"/>
      <c r="I132" s="6"/>
    </row>
    <row r="133" spans="7:9">
      <c r="G133" s="6"/>
      <c r="H133" s="6"/>
      <c r="I133" s="6"/>
    </row>
    <row r="134" spans="7:9">
      <c r="G134" s="6"/>
      <c r="H134" s="6"/>
      <c r="I134" s="6"/>
    </row>
    <row r="135" spans="7:9">
      <c r="G135" s="6"/>
      <c r="H135" s="6"/>
      <c r="I135" s="6"/>
    </row>
    <row r="136" spans="7:9">
      <c r="G136" s="6"/>
      <c r="H136" s="6"/>
      <c r="I136" s="6"/>
    </row>
    <row r="137" spans="7:9">
      <c r="G137" s="6"/>
      <c r="H137" s="6"/>
      <c r="I137" s="6"/>
    </row>
    <row r="138" spans="7:9">
      <c r="G138" s="6"/>
      <c r="H138" s="6"/>
      <c r="I138" s="6"/>
    </row>
    <row r="139" spans="7:9">
      <c r="G139" s="6"/>
      <c r="H139" s="6"/>
      <c r="I139" s="6"/>
    </row>
    <row r="140" spans="7:9">
      <c r="G140" s="6"/>
      <c r="H140" s="6"/>
      <c r="I140" s="6"/>
    </row>
    <row r="141" spans="7:9">
      <c r="G141" s="6"/>
      <c r="H141" s="6"/>
      <c r="I141" s="6"/>
    </row>
    <row r="142" spans="7:9">
      <c r="G142" s="6"/>
      <c r="H142" s="6"/>
      <c r="I142" s="6"/>
    </row>
    <row r="143" spans="7:9">
      <c r="G143" s="6"/>
      <c r="H143" s="6"/>
      <c r="I143" s="6"/>
    </row>
    <row r="144" spans="7:9">
      <c r="G144" s="6"/>
      <c r="H144" s="6"/>
      <c r="I144" s="6"/>
    </row>
    <row r="145" spans="7:9">
      <c r="G145" s="6"/>
      <c r="H145" s="6"/>
      <c r="I145" s="6"/>
    </row>
    <row r="146" spans="7:9">
      <c r="G146" s="6"/>
      <c r="H146" s="6"/>
      <c r="I146" s="6"/>
    </row>
    <row r="147" spans="7:9">
      <c r="G147" s="6"/>
      <c r="H147" s="6"/>
      <c r="I147" s="6"/>
    </row>
    <row r="148" spans="7:9">
      <c r="G148" s="6"/>
      <c r="H148" s="6"/>
      <c r="I148" s="6"/>
    </row>
    <row r="149" spans="7:9">
      <c r="G149" s="6"/>
      <c r="H149" s="6"/>
      <c r="I149" s="6"/>
    </row>
    <row r="150" spans="7:9">
      <c r="G150" s="6"/>
      <c r="H150" s="6"/>
      <c r="I150" s="6"/>
    </row>
    <row r="151" spans="7:9">
      <c r="G151" s="6"/>
      <c r="H151" s="6"/>
      <c r="I151" s="6"/>
    </row>
    <row r="152" spans="7:9">
      <c r="G152" s="6"/>
      <c r="H152" s="6"/>
      <c r="I152" s="6"/>
    </row>
    <row r="153" spans="7:9">
      <c r="G153" s="6"/>
      <c r="H153" s="6"/>
      <c r="I153" s="6"/>
    </row>
    <row r="154" spans="7:9">
      <c r="G154" s="6"/>
      <c r="H154" s="6"/>
      <c r="I154" s="6"/>
    </row>
    <row r="155" spans="7:9">
      <c r="G155" s="6"/>
      <c r="H155" s="6"/>
      <c r="I155" s="6"/>
    </row>
    <row r="156" spans="7:9">
      <c r="G156" s="6"/>
      <c r="H156" s="6"/>
      <c r="I156" s="6"/>
    </row>
    <row r="157" spans="7:9">
      <c r="G157" s="6"/>
      <c r="H157" s="6"/>
      <c r="I157" s="6"/>
    </row>
    <row r="158" spans="7:9">
      <c r="G158" s="6"/>
      <c r="H158" s="6"/>
      <c r="I158" s="6"/>
    </row>
    <row r="159" spans="7:9">
      <c r="G159" s="6"/>
      <c r="H159" s="6"/>
      <c r="I159" s="6"/>
    </row>
    <row r="160" spans="7:9">
      <c r="G160" s="6"/>
      <c r="H160" s="6"/>
      <c r="I160" s="6"/>
    </row>
    <row r="161" spans="7:9">
      <c r="G161" s="6"/>
      <c r="H161" s="6"/>
      <c r="I161" s="6"/>
    </row>
    <row r="162" spans="7:9">
      <c r="G162" s="6"/>
      <c r="H162" s="6"/>
      <c r="I162" s="6"/>
    </row>
    <row r="163" spans="7:9">
      <c r="G163" s="6"/>
      <c r="H163" s="6"/>
      <c r="I163" s="6"/>
    </row>
    <row r="164" spans="7:9">
      <c r="G164" s="6"/>
      <c r="H164" s="6"/>
      <c r="I164" s="6"/>
    </row>
    <row r="165" spans="7:9">
      <c r="G165" s="6"/>
      <c r="H165" s="6"/>
      <c r="I165" s="6"/>
    </row>
    <row r="166" spans="7:9">
      <c r="G166" s="6"/>
      <c r="H166" s="6"/>
      <c r="I166" s="6"/>
    </row>
    <row r="167" spans="7:9">
      <c r="G167" s="6"/>
      <c r="H167" s="6"/>
      <c r="I167" s="6"/>
    </row>
    <row r="168" spans="7:9">
      <c r="G168" s="6"/>
      <c r="H168" s="6"/>
      <c r="I168" s="6"/>
    </row>
    <row r="169" spans="7:9">
      <c r="G169" s="6"/>
      <c r="H169" s="6"/>
      <c r="I169" s="6"/>
    </row>
    <row r="170" spans="7:9">
      <c r="G170" s="6"/>
      <c r="H170" s="6"/>
      <c r="I170" s="6"/>
    </row>
    <row r="171" spans="7:9">
      <c r="G171" s="6"/>
      <c r="H171" s="6"/>
      <c r="I171" s="6"/>
    </row>
    <row r="172" spans="7:9">
      <c r="G172" s="6"/>
      <c r="H172" s="6"/>
      <c r="I172" s="6"/>
    </row>
    <row r="173" spans="7:9">
      <c r="G173" s="6"/>
      <c r="H173" s="6"/>
      <c r="I173" s="6"/>
    </row>
    <row r="174" spans="7:9">
      <c r="G174" s="6"/>
      <c r="H174" s="6"/>
      <c r="I174" s="6"/>
    </row>
    <row r="175" spans="7:9">
      <c r="G175" s="6"/>
      <c r="H175" s="6"/>
      <c r="I175" s="6"/>
    </row>
    <row r="176" spans="7:9">
      <c r="G176" s="6"/>
      <c r="H176" s="6"/>
      <c r="I176" s="6"/>
    </row>
    <row r="177" spans="7:9">
      <c r="G177" s="6"/>
      <c r="H177" s="6"/>
      <c r="I177" s="6"/>
    </row>
    <row r="178" spans="7:9">
      <c r="G178" s="6"/>
      <c r="H178" s="6"/>
      <c r="I178" s="6"/>
    </row>
    <row r="179" spans="7:9">
      <c r="G179" s="6"/>
      <c r="H179" s="6"/>
      <c r="I179" s="6"/>
    </row>
    <row r="180" spans="7:9">
      <c r="G180" s="6"/>
      <c r="H180" s="6"/>
      <c r="I180" s="6"/>
    </row>
    <row r="181" spans="7:9">
      <c r="G181" s="6"/>
      <c r="H181" s="6"/>
      <c r="I181" s="6"/>
    </row>
    <row r="182" spans="7:9">
      <c r="G182" s="6"/>
      <c r="H182" s="6"/>
      <c r="I182" s="6"/>
    </row>
    <row r="183" spans="7:9">
      <c r="G183" s="6"/>
      <c r="H183" s="6"/>
      <c r="I183" s="6"/>
    </row>
    <row r="184" spans="7:9">
      <c r="G184" s="6"/>
      <c r="H184" s="6"/>
      <c r="I184" s="6"/>
    </row>
    <row r="185" spans="7:9">
      <c r="G185" s="6"/>
      <c r="H185" s="6"/>
      <c r="I185" s="6"/>
    </row>
    <row r="186" spans="7:9">
      <c r="G186" s="6"/>
      <c r="H186" s="6"/>
      <c r="I186" s="6"/>
    </row>
    <row r="187" spans="7:9">
      <c r="G187" s="6"/>
      <c r="H187" s="6"/>
      <c r="I187" s="6"/>
    </row>
    <row r="188" spans="7:9">
      <c r="G188" s="6"/>
      <c r="H188" s="6"/>
      <c r="I188" s="6"/>
    </row>
    <row r="189" spans="7:9">
      <c r="G189" s="6"/>
      <c r="H189" s="6"/>
      <c r="I189" s="6"/>
    </row>
    <row r="190" spans="7:9">
      <c r="G190" s="6"/>
      <c r="H190" s="6"/>
      <c r="I190" s="6"/>
    </row>
    <row r="191" spans="7:9">
      <c r="G191" s="6"/>
      <c r="H191" s="6"/>
      <c r="I191" s="6"/>
    </row>
    <row r="192" spans="7:9">
      <c r="G192" s="6"/>
      <c r="H192" s="6"/>
      <c r="I192" s="6"/>
    </row>
    <row r="193" spans="7:9">
      <c r="G193" s="6"/>
      <c r="H193" s="6"/>
      <c r="I193" s="6"/>
    </row>
    <row r="194" spans="7:9">
      <c r="G194" s="6"/>
      <c r="H194" s="6"/>
      <c r="I194" s="6"/>
    </row>
    <row r="195" spans="7:9">
      <c r="G195" s="6"/>
      <c r="H195" s="6"/>
      <c r="I195" s="6"/>
    </row>
    <row r="196" spans="7:9">
      <c r="G196" s="6"/>
      <c r="H196" s="6"/>
      <c r="I196" s="6"/>
    </row>
    <row r="197" spans="7:9">
      <c r="G197" s="6"/>
      <c r="H197" s="6"/>
      <c r="I197" s="6"/>
    </row>
    <row r="198" spans="7:9">
      <c r="G198" s="6"/>
      <c r="H198" s="6"/>
      <c r="I198" s="6"/>
    </row>
    <row r="199" spans="7:9">
      <c r="G199" s="6"/>
      <c r="H199" s="6"/>
      <c r="I199" s="6"/>
    </row>
    <row r="200" spans="7:9">
      <c r="G200" s="6"/>
      <c r="H200" s="6"/>
      <c r="I200" s="6"/>
    </row>
    <row r="201" spans="7:9">
      <c r="G201" s="6"/>
      <c r="H201" s="6"/>
      <c r="I201" s="6"/>
    </row>
    <row r="202" spans="7:9">
      <c r="G202" s="6"/>
      <c r="H202" s="6"/>
      <c r="I202" s="6"/>
    </row>
    <row r="203" spans="7:9">
      <c r="G203" s="6"/>
      <c r="H203" s="6"/>
      <c r="I203" s="6"/>
    </row>
    <row r="204" spans="7:9">
      <c r="G204" s="6"/>
      <c r="H204" s="6"/>
      <c r="I204" s="6"/>
    </row>
    <row r="205" spans="7:9">
      <c r="G205" s="6"/>
      <c r="H205" s="6"/>
      <c r="I205" s="6"/>
    </row>
    <row r="206" spans="7:9">
      <c r="G206" s="6"/>
      <c r="H206" s="6"/>
      <c r="I206" s="6"/>
    </row>
    <row r="207" spans="7:9">
      <c r="G207" s="6"/>
      <c r="H207" s="6"/>
      <c r="I207" s="6"/>
    </row>
    <row r="208" spans="7:9">
      <c r="G208" s="6"/>
      <c r="H208" s="6"/>
      <c r="I208" s="6"/>
    </row>
    <row r="209" spans="7:9">
      <c r="G209" s="6"/>
      <c r="H209" s="6"/>
      <c r="I209" s="6"/>
    </row>
    <row r="210" spans="7:9">
      <c r="G210" s="6"/>
      <c r="H210" s="6"/>
      <c r="I210" s="6"/>
    </row>
    <row r="211" spans="7:9">
      <c r="G211" s="6"/>
      <c r="H211" s="6"/>
      <c r="I211" s="6"/>
    </row>
    <row r="212" spans="7:9">
      <c r="G212" s="6"/>
      <c r="H212" s="6"/>
      <c r="I212" s="6"/>
    </row>
    <row r="213" spans="7:9">
      <c r="G213" s="6"/>
      <c r="H213" s="6"/>
      <c r="I213" s="6"/>
    </row>
    <row r="214" spans="7:9">
      <c r="G214" s="6"/>
      <c r="H214" s="6"/>
      <c r="I214" s="6"/>
    </row>
    <row r="215" spans="7:9">
      <c r="G215" s="6"/>
      <c r="H215" s="6"/>
      <c r="I215" s="6"/>
    </row>
    <row r="216" spans="7:9">
      <c r="G216" s="6"/>
      <c r="H216" s="6"/>
      <c r="I216" s="6"/>
    </row>
    <row r="217" spans="7:9">
      <c r="G217" s="6"/>
      <c r="H217" s="6"/>
      <c r="I217" s="6"/>
    </row>
    <row r="218" spans="7:9">
      <c r="G218" s="6"/>
      <c r="H218" s="6"/>
      <c r="I218" s="6"/>
    </row>
    <row r="219" spans="7:9">
      <c r="G219" s="6"/>
      <c r="H219" s="6"/>
      <c r="I219" s="6"/>
    </row>
    <row r="220" spans="7:9">
      <c r="G220" s="6"/>
      <c r="H220" s="6"/>
      <c r="I220" s="6"/>
    </row>
    <row r="221" spans="7:9">
      <c r="G221" s="6"/>
      <c r="H221" s="6"/>
      <c r="I221" s="6"/>
    </row>
    <row r="222" spans="7:9">
      <c r="G222" s="6"/>
      <c r="H222" s="6"/>
      <c r="I222" s="6"/>
    </row>
    <row r="223" spans="7:9">
      <c r="G223" s="6"/>
      <c r="H223" s="6"/>
      <c r="I223" s="6"/>
    </row>
    <row r="224" spans="7:9">
      <c r="G224" s="6"/>
      <c r="H224" s="6"/>
      <c r="I224" s="6"/>
    </row>
    <row r="225" spans="7:9">
      <c r="G225" s="6"/>
      <c r="H225" s="6"/>
      <c r="I225" s="6"/>
    </row>
    <row r="226" spans="7:9">
      <c r="G226" s="6"/>
      <c r="H226" s="6"/>
      <c r="I226" s="6"/>
    </row>
    <row r="227" spans="7:9">
      <c r="G227" s="6"/>
      <c r="H227" s="6"/>
      <c r="I227" s="6"/>
    </row>
    <row r="228" spans="7:9">
      <c r="G228" s="6"/>
      <c r="H228" s="6"/>
      <c r="I228" s="6"/>
    </row>
    <row r="229" spans="7:9">
      <c r="G229" s="6"/>
      <c r="H229" s="6"/>
      <c r="I229" s="6"/>
    </row>
    <row r="230" spans="7:9">
      <c r="G230" s="6"/>
      <c r="H230" s="6"/>
      <c r="I230" s="6"/>
    </row>
    <row r="231" spans="7:9">
      <c r="G231" s="6"/>
      <c r="H231" s="6"/>
      <c r="I231" s="6"/>
    </row>
    <row r="232" spans="7:9">
      <c r="G232" s="6"/>
      <c r="H232" s="6"/>
      <c r="I232" s="6"/>
    </row>
    <row r="233" spans="7:9">
      <c r="G233" s="6"/>
      <c r="H233" s="6"/>
      <c r="I233" s="6"/>
    </row>
    <row r="234" spans="7:9">
      <c r="G234" s="6"/>
      <c r="H234" s="6"/>
      <c r="I234" s="6"/>
    </row>
    <row r="235" spans="7:9">
      <c r="G235" s="6"/>
      <c r="H235" s="6"/>
      <c r="I235" s="6"/>
    </row>
    <row r="236" spans="7:9">
      <c r="G236" s="6"/>
      <c r="H236" s="6"/>
      <c r="I236" s="6"/>
    </row>
    <row r="237" spans="7:9">
      <c r="G237" s="6"/>
      <c r="H237" s="6"/>
      <c r="I237" s="6"/>
    </row>
    <row r="238" spans="7:9">
      <c r="G238" s="6"/>
      <c r="H238" s="6"/>
      <c r="I238" s="6"/>
    </row>
    <row r="239" spans="7:9">
      <c r="G239" s="6"/>
      <c r="H239" s="6"/>
      <c r="I239" s="6"/>
    </row>
    <row r="240" spans="7:9">
      <c r="G240" s="6"/>
      <c r="H240" s="6"/>
      <c r="I240" s="6"/>
    </row>
    <row r="241" spans="7:9">
      <c r="G241" s="6"/>
      <c r="H241" s="6"/>
      <c r="I241" s="6"/>
    </row>
    <row r="242" spans="7:9">
      <c r="G242" s="6"/>
      <c r="H242" s="6"/>
      <c r="I242" s="6"/>
    </row>
    <row r="243" spans="7:9">
      <c r="G243" s="6"/>
      <c r="H243" s="6"/>
      <c r="I243" s="6"/>
    </row>
    <row r="244" spans="7:9">
      <c r="G244" s="6"/>
      <c r="H244" s="6"/>
      <c r="I244" s="6"/>
    </row>
    <row r="245" spans="7:9">
      <c r="G245" s="6"/>
      <c r="H245" s="6"/>
      <c r="I245" s="6"/>
    </row>
    <row r="246" spans="7:9">
      <c r="G246" s="6"/>
      <c r="H246" s="6"/>
      <c r="I246" s="6"/>
    </row>
    <row r="247" spans="7:9">
      <c r="G247" s="6"/>
      <c r="H247" s="6"/>
      <c r="I247" s="6"/>
    </row>
    <row r="248" spans="7:9">
      <c r="G248" s="6"/>
      <c r="H248" s="6"/>
      <c r="I248" s="6"/>
    </row>
    <row r="249" spans="7:9">
      <c r="G249" s="6"/>
      <c r="H249" s="6"/>
      <c r="I249" s="6"/>
    </row>
    <row r="250" spans="7:9">
      <c r="G250" s="6"/>
      <c r="H250" s="6"/>
      <c r="I250" s="6"/>
    </row>
    <row r="251" spans="7:9">
      <c r="G251" s="6"/>
      <c r="H251" s="6"/>
      <c r="I251" s="6"/>
    </row>
    <row r="252" spans="7:9">
      <c r="G252" s="6"/>
      <c r="H252" s="6"/>
      <c r="I252" s="6"/>
    </row>
    <row r="253" spans="7:9">
      <c r="G253" s="6"/>
      <c r="H253" s="6"/>
      <c r="I253" s="6"/>
    </row>
    <row r="254" spans="7:9">
      <c r="G254" s="6"/>
      <c r="H254" s="6"/>
      <c r="I254" s="6"/>
    </row>
    <row r="255" spans="7:9">
      <c r="G255" s="6"/>
      <c r="H255" s="6"/>
      <c r="I255" s="6"/>
    </row>
    <row r="256" spans="7:9">
      <c r="G256" s="6"/>
      <c r="H256" s="6"/>
      <c r="I256" s="6"/>
    </row>
    <row r="257" spans="7:9">
      <c r="G257" s="6"/>
      <c r="H257" s="6"/>
      <c r="I257" s="6"/>
    </row>
    <row r="258" spans="7:9">
      <c r="G258" s="6"/>
      <c r="H258" s="6"/>
      <c r="I258" s="6"/>
    </row>
    <row r="259" spans="7:9">
      <c r="G259" s="6"/>
      <c r="H259" s="6"/>
      <c r="I259" s="6"/>
    </row>
    <row r="260" spans="7:9">
      <c r="G260" s="6"/>
      <c r="H260" s="6"/>
      <c r="I260" s="6"/>
    </row>
    <row r="261" spans="7:9">
      <c r="G261" s="6"/>
      <c r="H261" s="6"/>
      <c r="I261" s="6"/>
    </row>
    <row r="262" spans="7:9">
      <c r="G262" s="6"/>
      <c r="H262" s="6"/>
      <c r="I262" s="6"/>
    </row>
    <row r="263" spans="7:9">
      <c r="G263" s="6"/>
      <c r="H263" s="6"/>
      <c r="I263" s="6"/>
    </row>
    <row r="264" spans="7:9">
      <c r="G264" s="6"/>
      <c r="H264" s="6"/>
      <c r="I264" s="6"/>
    </row>
    <row r="265" spans="7:9">
      <c r="G265" s="6"/>
      <c r="H265" s="6"/>
      <c r="I265" s="6"/>
    </row>
    <row r="266" spans="7:9">
      <c r="G266" s="6"/>
      <c r="H266" s="6"/>
      <c r="I266" s="6"/>
    </row>
    <row r="267" spans="7:9">
      <c r="G267" s="6"/>
      <c r="H267" s="6"/>
      <c r="I267" s="6"/>
    </row>
    <row r="268" spans="7:9">
      <c r="G268" s="6"/>
      <c r="H268" s="6"/>
      <c r="I268" s="6"/>
    </row>
    <row r="269" spans="7:9">
      <c r="G269" s="6"/>
      <c r="H269" s="6"/>
      <c r="I269" s="6"/>
    </row>
    <row r="270" spans="7:9">
      <c r="G270" s="6"/>
      <c r="H270" s="6"/>
      <c r="I270" s="6"/>
    </row>
    <row r="271" spans="7:9">
      <c r="G271" s="6"/>
      <c r="H271" s="6"/>
      <c r="I271" s="6"/>
    </row>
    <row r="272" spans="7:9">
      <c r="G272" s="6"/>
      <c r="H272" s="6"/>
      <c r="I272" s="6"/>
    </row>
    <row r="273" spans="7:9">
      <c r="G273" s="6"/>
      <c r="H273" s="6"/>
      <c r="I273" s="6"/>
    </row>
    <row r="274" spans="7:9">
      <c r="G274" s="6"/>
      <c r="H274" s="6"/>
      <c r="I274" s="6"/>
    </row>
    <row r="275" spans="7:9">
      <c r="G275" s="6"/>
      <c r="H275" s="6"/>
      <c r="I275" s="6"/>
    </row>
    <row r="276" spans="7:9">
      <c r="G276" s="6"/>
      <c r="H276" s="6"/>
      <c r="I276" s="6"/>
    </row>
    <row r="277" spans="7:9">
      <c r="G277" s="6"/>
      <c r="H277" s="6"/>
      <c r="I277" s="6"/>
    </row>
    <row r="278" spans="7:9">
      <c r="G278" s="6"/>
      <c r="H278" s="6"/>
      <c r="I278" s="6"/>
    </row>
    <row r="279" spans="7:9">
      <c r="G279" s="6"/>
      <c r="H279" s="6"/>
      <c r="I279" s="6"/>
    </row>
    <row r="280" spans="7:9">
      <c r="G280" s="6"/>
      <c r="H280" s="6"/>
      <c r="I280" s="6"/>
    </row>
    <row r="281" spans="7:9">
      <c r="G281" s="6"/>
      <c r="H281" s="6"/>
      <c r="I281" s="6"/>
    </row>
    <row r="282" spans="7:9">
      <c r="G282" s="6"/>
      <c r="H282" s="6"/>
      <c r="I282" s="6"/>
    </row>
    <row r="283" spans="7:9">
      <c r="G283" s="6"/>
      <c r="H283" s="6"/>
      <c r="I283" s="6"/>
    </row>
    <row r="284" spans="7:9">
      <c r="G284" s="6"/>
      <c r="H284" s="6"/>
      <c r="I284" s="6"/>
    </row>
    <row r="285" spans="7:9">
      <c r="G285" s="6"/>
      <c r="H285" s="6"/>
      <c r="I285" s="6"/>
    </row>
    <row r="286" spans="7:9">
      <c r="G286" s="6"/>
      <c r="H286" s="6"/>
      <c r="I286" s="6"/>
    </row>
    <row r="287" spans="7:9">
      <c r="G287" s="6"/>
      <c r="H287" s="6"/>
      <c r="I287" s="6"/>
    </row>
    <row r="288" spans="7:9">
      <c r="G288" s="6"/>
      <c r="H288" s="6"/>
      <c r="I288" s="6"/>
    </row>
    <row r="289" spans="7:9">
      <c r="G289" s="6"/>
      <c r="H289" s="6"/>
      <c r="I289" s="6"/>
    </row>
    <row r="290" spans="7:9">
      <c r="G290" s="6"/>
      <c r="H290" s="6"/>
      <c r="I290" s="6"/>
    </row>
    <row r="291" spans="7:9">
      <c r="G291" s="6"/>
      <c r="H291" s="6"/>
      <c r="I291" s="6"/>
    </row>
    <row r="292" spans="7:9">
      <c r="G292" s="6"/>
      <c r="H292" s="6"/>
      <c r="I292" s="6"/>
    </row>
    <row r="293" spans="7:9">
      <c r="G293" s="6"/>
      <c r="H293" s="6"/>
      <c r="I293" s="6"/>
    </row>
    <row r="294" spans="7:9">
      <c r="G294" s="6"/>
      <c r="H294" s="6"/>
      <c r="I294" s="6"/>
    </row>
    <row r="295" spans="7:9">
      <c r="G295" s="6"/>
      <c r="H295" s="6"/>
      <c r="I295" s="6"/>
    </row>
    <row r="296" spans="7:9">
      <c r="G296" s="6"/>
      <c r="H296" s="6"/>
      <c r="I296" s="6"/>
    </row>
    <row r="297" spans="7:9">
      <c r="G297" s="6"/>
      <c r="H297" s="6"/>
      <c r="I297" s="6"/>
    </row>
    <row r="298" spans="7:9">
      <c r="G298" s="6"/>
      <c r="H298" s="6"/>
      <c r="I298" s="6"/>
    </row>
    <row r="299" spans="7:9">
      <c r="G299" s="6"/>
      <c r="H299" s="6"/>
      <c r="I299" s="6"/>
    </row>
    <row r="300" spans="7:9">
      <c r="G300" s="6"/>
      <c r="H300" s="6"/>
      <c r="I300" s="6"/>
    </row>
    <row r="301" spans="7:9">
      <c r="G301" s="6"/>
      <c r="H301" s="6"/>
      <c r="I301" s="6"/>
    </row>
    <row r="302" spans="7:9">
      <c r="G302" s="6"/>
      <c r="H302" s="6"/>
      <c r="I302" s="6"/>
    </row>
    <row r="303" spans="7:9">
      <c r="G303" s="6"/>
      <c r="H303" s="6"/>
      <c r="I303" s="6"/>
    </row>
    <row r="304" spans="7:9">
      <c r="G304" s="6"/>
      <c r="H304" s="6"/>
      <c r="I304" s="6"/>
    </row>
    <row r="305" spans="7:9">
      <c r="G305" s="6"/>
      <c r="H305" s="6"/>
      <c r="I305" s="6"/>
    </row>
    <row r="306" spans="7:9">
      <c r="G306" s="6"/>
      <c r="H306" s="6"/>
      <c r="I306" s="6"/>
    </row>
    <row r="307" spans="7:9">
      <c r="G307" s="6"/>
      <c r="H307" s="6"/>
      <c r="I307" s="6"/>
    </row>
    <row r="308" spans="7:9">
      <c r="G308" s="6"/>
      <c r="H308" s="6"/>
      <c r="I308" s="6"/>
    </row>
    <row r="309" spans="7:9">
      <c r="G309" s="6"/>
      <c r="H309" s="6"/>
      <c r="I309" s="6"/>
    </row>
    <row r="310" spans="7:9">
      <c r="G310" s="6"/>
      <c r="H310" s="6"/>
      <c r="I310" s="6"/>
    </row>
    <row r="311" spans="7:9">
      <c r="G311" s="6"/>
      <c r="H311" s="6"/>
      <c r="I311" s="6"/>
    </row>
    <row r="312" spans="7:9">
      <c r="G312" s="6"/>
      <c r="H312" s="6"/>
      <c r="I312" s="6"/>
    </row>
    <row r="313" spans="7:9">
      <c r="G313" s="6"/>
      <c r="H313" s="6"/>
      <c r="I313" s="6"/>
    </row>
    <row r="314" spans="7:9">
      <c r="G314" s="6"/>
      <c r="H314" s="6"/>
      <c r="I314" s="6"/>
    </row>
    <row r="315" spans="7:9">
      <c r="G315" s="6"/>
      <c r="H315" s="6"/>
      <c r="I315" s="6"/>
    </row>
    <row r="316" spans="7:9">
      <c r="G316" s="6"/>
      <c r="H316" s="6"/>
      <c r="I316" s="6"/>
    </row>
    <row r="317" spans="7:9">
      <c r="G317" s="6"/>
      <c r="H317" s="6"/>
      <c r="I317" s="6"/>
    </row>
    <row r="318" spans="7:9">
      <c r="G318" s="6"/>
      <c r="H318" s="6"/>
      <c r="I318" s="6"/>
    </row>
    <row r="319" spans="7:9">
      <c r="G319" s="6"/>
      <c r="H319" s="6"/>
      <c r="I319" s="6"/>
    </row>
    <row r="320" spans="7:9">
      <c r="G320" s="6"/>
      <c r="H320" s="6"/>
      <c r="I320" s="6"/>
    </row>
    <row r="321" spans="7:9">
      <c r="G321" s="6"/>
      <c r="H321" s="6"/>
      <c r="I321" s="6"/>
    </row>
    <row r="322" spans="7:9">
      <c r="G322" s="6"/>
      <c r="H322" s="6"/>
      <c r="I322" s="6"/>
    </row>
    <row r="323" spans="7:9">
      <c r="G323" s="6"/>
      <c r="H323" s="6"/>
      <c r="I323" s="6"/>
    </row>
    <row r="324" spans="7:9">
      <c r="G324" s="6"/>
      <c r="H324" s="6"/>
      <c r="I324" s="6"/>
    </row>
    <row r="325" spans="7:9">
      <c r="G325" s="6"/>
      <c r="H325" s="6"/>
      <c r="I325" s="6"/>
    </row>
    <row r="326" spans="7:9">
      <c r="G326" s="6"/>
      <c r="H326" s="6"/>
      <c r="I326" s="6"/>
    </row>
    <row r="327" spans="7:9">
      <c r="G327" s="6"/>
      <c r="H327" s="6"/>
      <c r="I327" s="6"/>
    </row>
    <row r="328" spans="7:9">
      <c r="G328" s="6"/>
      <c r="H328" s="6"/>
      <c r="I328" s="6"/>
    </row>
    <row r="329" spans="7:9">
      <c r="G329" s="6"/>
      <c r="H329" s="6"/>
      <c r="I329" s="6"/>
    </row>
    <row r="330" spans="7:9">
      <c r="G330" s="6"/>
      <c r="H330" s="6"/>
      <c r="I330" s="6"/>
    </row>
    <row r="331" spans="7:9">
      <c r="G331" s="6"/>
      <c r="H331" s="6"/>
      <c r="I331" s="6"/>
    </row>
    <row r="332" spans="7:9">
      <c r="G332" s="6"/>
      <c r="H332" s="6"/>
      <c r="I332" s="6"/>
    </row>
    <row r="333" spans="7:9">
      <c r="G333" s="6"/>
      <c r="H333" s="6"/>
      <c r="I333" s="6"/>
    </row>
    <row r="334" spans="7:9">
      <c r="G334" s="6"/>
      <c r="H334" s="6"/>
      <c r="I334" s="6"/>
    </row>
    <row r="335" spans="7:9">
      <c r="G335" s="6"/>
      <c r="H335" s="6"/>
      <c r="I335" s="6"/>
    </row>
    <row r="336" spans="7:9">
      <c r="G336" s="6"/>
      <c r="H336" s="6"/>
      <c r="I336" s="6"/>
    </row>
    <row r="337" spans="7:9">
      <c r="G337" s="6"/>
      <c r="H337" s="6"/>
      <c r="I337" s="6"/>
    </row>
    <row r="338" spans="7:9">
      <c r="G338" s="6"/>
      <c r="H338" s="6"/>
      <c r="I338" s="6"/>
    </row>
    <row r="339" spans="7:9">
      <c r="G339" s="6"/>
      <c r="H339" s="6"/>
      <c r="I339" s="6"/>
    </row>
    <row r="340" spans="7:9">
      <c r="G340" s="6"/>
      <c r="H340" s="6"/>
      <c r="I340" s="6"/>
    </row>
    <row r="341" spans="7:9">
      <c r="G341" s="6"/>
      <c r="H341" s="6"/>
      <c r="I341" s="6"/>
    </row>
    <row r="342" spans="7:9">
      <c r="G342" s="6"/>
      <c r="H342" s="6"/>
      <c r="I342" s="6"/>
    </row>
    <row r="343" spans="7:9">
      <c r="G343" s="6"/>
      <c r="H343" s="6"/>
      <c r="I343" s="6"/>
    </row>
    <row r="344" spans="7:9">
      <c r="G344" s="6"/>
      <c r="H344" s="6"/>
      <c r="I344" s="6"/>
    </row>
    <row r="345" spans="7:9">
      <c r="G345" s="6"/>
      <c r="H345" s="6"/>
      <c r="I345" s="6"/>
    </row>
    <row r="346" spans="7:9">
      <c r="G346" s="6"/>
      <c r="H346" s="6"/>
      <c r="I346" s="6"/>
    </row>
    <row r="347" spans="7:9">
      <c r="G347" s="6"/>
      <c r="H347" s="6"/>
      <c r="I347" s="6"/>
    </row>
    <row r="348" spans="7:9">
      <c r="G348" s="6"/>
      <c r="H348" s="6"/>
      <c r="I348" s="6"/>
    </row>
    <row r="349" spans="7:9">
      <c r="G349" s="6"/>
      <c r="H349" s="6"/>
      <c r="I349" s="6"/>
    </row>
    <row r="350" spans="7:9">
      <c r="G350" s="6"/>
      <c r="H350" s="6"/>
      <c r="I350" s="6"/>
    </row>
    <row r="351" spans="7:9">
      <c r="G351" s="6"/>
      <c r="H351" s="6"/>
      <c r="I351" s="6"/>
    </row>
    <row r="352" spans="7:9">
      <c r="G352" s="6"/>
      <c r="H352" s="6"/>
      <c r="I352" s="6"/>
    </row>
    <row r="353" spans="7:9">
      <c r="G353" s="6"/>
      <c r="H353" s="6"/>
      <c r="I353" s="6"/>
    </row>
    <row r="354" spans="7:9">
      <c r="G354" s="6"/>
      <c r="H354" s="6"/>
      <c r="I354" s="6"/>
    </row>
    <row r="355" spans="7:9">
      <c r="G355" s="6"/>
      <c r="H355" s="6"/>
      <c r="I355" s="6"/>
    </row>
    <row r="356" spans="7:9">
      <c r="G356" s="6"/>
      <c r="H356" s="6"/>
      <c r="I356" s="6"/>
    </row>
    <row r="357" spans="7:9">
      <c r="G357" s="6"/>
      <c r="H357" s="6"/>
      <c r="I357" s="6"/>
    </row>
    <row r="358" spans="7:9">
      <c r="G358" s="6"/>
      <c r="H358" s="6"/>
      <c r="I358" s="6"/>
    </row>
    <row r="359" spans="7:9">
      <c r="G359" s="6"/>
      <c r="H359" s="6"/>
      <c r="I359" s="6"/>
    </row>
    <row r="360" spans="7:9">
      <c r="G360" s="6"/>
      <c r="H360" s="6"/>
      <c r="I360" s="6"/>
    </row>
    <row r="361" spans="7:9">
      <c r="G361" s="6"/>
      <c r="H361" s="6"/>
      <c r="I361" s="6"/>
    </row>
    <row r="362" spans="7:9">
      <c r="G362" s="6"/>
      <c r="H362" s="6"/>
      <c r="I362" s="6"/>
    </row>
    <row r="363" spans="7:9">
      <c r="G363" s="6"/>
      <c r="H363" s="6"/>
      <c r="I363" s="6"/>
    </row>
    <row r="364" spans="7:9">
      <c r="G364" s="6"/>
      <c r="H364" s="6"/>
      <c r="I364" s="6"/>
    </row>
    <row r="365" spans="7:9">
      <c r="G365" s="6"/>
      <c r="H365" s="6"/>
      <c r="I365" s="6"/>
    </row>
    <row r="366" spans="7:9">
      <c r="G366" s="6"/>
      <c r="H366" s="6"/>
      <c r="I366" s="6"/>
    </row>
    <row r="367" spans="7:9">
      <c r="G367" s="6"/>
      <c r="H367" s="6"/>
      <c r="I367" s="6"/>
    </row>
    <row r="368" spans="7:9">
      <c r="G368" s="6"/>
      <c r="H368" s="6"/>
      <c r="I368" s="6"/>
    </row>
    <row r="369" spans="7:9">
      <c r="G369" s="6"/>
      <c r="H369" s="6"/>
      <c r="I369" s="6"/>
    </row>
    <row r="370" spans="7:9">
      <c r="G370" s="6"/>
      <c r="H370" s="6"/>
      <c r="I370" s="6"/>
    </row>
    <row r="371" spans="7:9">
      <c r="G371" s="6"/>
      <c r="H371" s="6"/>
      <c r="I371" s="6"/>
    </row>
    <row r="372" spans="7:9">
      <c r="G372" s="6"/>
      <c r="H372" s="6"/>
      <c r="I372" s="6"/>
    </row>
    <row r="373" spans="7:9">
      <c r="G373" s="6"/>
      <c r="H373" s="6"/>
      <c r="I373" s="6"/>
    </row>
    <row r="374" spans="7:9">
      <c r="G374" s="6"/>
      <c r="H374" s="6"/>
      <c r="I374" s="6"/>
    </row>
    <row r="375" spans="7:9">
      <c r="G375" s="6"/>
      <c r="H375" s="6"/>
      <c r="I375" s="6"/>
    </row>
    <row r="376" spans="7:9">
      <c r="G376" s="6"/>
      <c r="H376" s="6"/>
      <c r="I376" s="6"/>
    </row>
    <row r="377" spans="7:9">
      <c r="G377" s="6"/>
      <c r="H377" s="6"/>
      <c r="I377" s="6"/>
    </row>
    <row r="378" spans="7:9">
      <c r="G378" s="6"/>
      <c r="H378" s="6"/>
      <c r="I378" s="6"/>
    </row>
    <row r="379" spans="7:9">
      <c r="G379" s="6"/>
      <c r="H379" s="6"/>
      <c r="I379" s="6"/>
    </row>
    <row r="380" spans="7:9">
      <c r="G380" s="6"/>
      <c r="H380" s="6"/>
      <c r="I380" s="6"/>
    </row>
    <row r="381" spans="7:9">
      <c r="G381" s="6"/>
      <c r="H381" s="6"/>
      <c r="I381" s="6"/>
    </row>
    <row r="382" spans="7:9">
      <c r="G382" s="6"/>
      <c r="H382" s="6"/>
      <c r="I382" s="6"/>
    </row>
    <row r="383" spans="7:9">
      <c r="G383" s="6"/>
      <c r="H383" s="6"/>
      <c r="I383" s="6"/>
    </row>
    <row r="384" spans="7:9">
      <c r="G384" s="6"/>
      <c r="H384" s="6"/>
      <c r="I384" s="6"/>
    </row>
    <row r="385" spans="7:9">
      <c r="G385" s="6"/>
      <c r="H385" s="6"/>
      <c r="I385" s="6"/>
    </row>
    <row r="386" spans="7:9">
      <c r="G386" s="6"/>
      <c r="H386" s="6"/>
      <c r="I386" s="6"/>
    </row>
    <row r="387" spans="7:9">
      <c r="G387" s="6"/>
      <c r="H387" s="6"/>
      <c r="I387" s="6"/>
    </row>
    <row r="388" spans="7:9">
      <c r="G388" s="6"/>
      <c r="H388" s="6"/>
      <c r="I388" s="6"/>
    </row>
    <row r="389" spans="7:9">
      <c r="G389" s="6"/>
      <c r="H389" s="6"/>
      <c r="I389" s="6"/>
    </row>
    <row r="390" spans="7:9">
      <c r="G390" s="6"/>
      <c r="H390" s="6"/>
      <c r="I390" s="6"/>
    </row>
    <row r="391" spans="7:9">
      <c r="G391" s="6"/>
      <c r="H391" s="6"/>
      <c r="I391" s="6"/>
    </row>
    <row r="392" spans="7:9">
      <c r="G392" s="6"/>
      <c r="H392" s="6"/>
      <c r="I392" s="6"/>
    </row>
    <row r="393" spans="7:9">
      <c r="G393" s="6"/>
      <c r="H393" s="6"/>
      <c r="I393" s="6"/>
    </row>
    <row r="394" spans="7:9">
      <c r="G394" s="6"/>
      <c r="H394" s="6"/>
      <c r="I394" s="6"/>
    </row>
    <row r="395" spans="7:9">
      <c r="G395" s="6"/>
      <c r="H395" s="6"/>
      <c r="I395" s="6"/>
    </row>
    <row r="396" spans="7:9">
      <c r="G396" s="6"/>
      <c r="H396" s="6"/>
      <c r="I396" s="6"/>
    </row>
    <row r="397" spans="7:9">
      <c r="G397" s="6"/>
      <c r="H397" s="6"/>
      <c r="I397" s="6"/>
    </row>
    <row r="398" spans="7:9">
      <c r="G398" s="6"/>
      <c r="H398" s="6"/>
      <c r="I398" s="6"/>
    </row>
    <row r="399" spans="7:9">
      <c r="G399" s="6"/>
      <c r="H399" s="6"/>
      <c r="I399" s="6"/>
    </row>
    <row r="400" spans="7:9">
      <c r="G400" s="6"/>
      <c r="H400" s="6"/>
      <c r="I400" s="6"/>
    </row>
    <row r="401" spans="7:9">
      <c r="G401" s="6"/>
      <c r="H401" s="6"/>
      <c r="I401" s="6"/>
    </row>
    <row r="402" spans="7:9">
      <c r="G402" s="6"/>
      <c r="H402" s="6"/>
      <c r="I402" s="6"/>
    </row>
    <row r="403" spans="7:9">
      <c r="G403" s="6"/>
      <c r="H403" s="6"/>
      <c r="I403" s="6"/>
    </row>
    <row r="404" spans="7:9">
      <c r="G404" s="6"/>
      <c r="H404" s="6"/>
      <c r="I404" s="6"/>
    </row>
    <row r="405" spans="7:9">
      <c r="G405" s="6"/>
      <c r="H405" s="6"/>
      <c r="I405" s="6"/>
    </row>
    <row r="406" spans="7:9">
      <c r="G406" s="6"/>
      <c r="H406" s="6"/>
      <c r="I406" s="6"/>
    </row>
    <row r="407" spans="7:9">
      <c r="G407" s="6"/>
      <c r="H407" s="6"/>
      <c r="I407" s="6"/>
    </row>
    <row r="408" spans="7:9">
      <c r="G408" s="6"/>
      <c r="H408" s="6"/>
      <c r="I408" s="6"/>
    </row>
    <row r="409" spans="7:9">
      <c r="G409" s="6"/>
      <c r="H409" s="6"/>
      <c r="I409" s="6"/>
    </row>
    <row r="410" spans="7:9">
      <c r="G410" s="6"/>
      <c r="H410" s="6"/>
      <c r="I410" s="6"/>
    </row>
    <row r="411" spans="7:9">
      <c r="G411" s="6"/>
      <c r="H411" s="6"/>
      <c r="I411" s="6"/>
    </row>
    <row r="412" spans="7:9">
      <c r="G412" s="6"/>
      <c r="H412" s="6"/>
      <c r="I412" s="6"/>
    </row>
    <row r="413" spans="7:9">
      <c r="G413" s="6"/>
      <c r="H413" s="6"/>
      <c r="I413" s="6"/>
    </row>
    <row r="414" spans="7:9">
      <c r="G414" s="6"/>
      <c r="H414" s="6"/>
      <c r="I414" s="6"/>
    </row>
    <row r="415" spans="7:9">
      <c r="G415" s="6"/>
      <c r="H415" s="6"/>
      <c r="I415" s="6"/>
    </row>
    <row r="416" spans="7:9">
      <c r="G416" s="6"/>
      <c r="H416" s="6"/>
      <c r="I416" s="6"/>
    </row>
    <row r="417" spans="7:9">
      <c r="G417" s="6"/>
      <c r="H417" s="6"/>
      <c r="I417" s="6"/>
    </row>
    <row r="418" spans="7:9">
      <c r="G418" s="6"/>
      <c r="H418" s="6"/>
      <c r="I418" s="6"/>
    </row>
    <row r="419" spans="7:9">
      <c r="G419" s="6"/>
      <c r="H419" s="6"/>
      <c r="I419" s="6"/>
    </row>
    <row r="420" spans="7:9">
      <c r="G420" s="6"/>
      <c r="H420" s="6"/>
      <c r="I420" s="6"/>
    </row>
    <row r="421" spans="7:9">
      <c r="G421" s="6"/>
      <c r="H421" s="6"/>
      <c r="I421" s="6"/>
    </row>
    <row r="422" spans="7:9">
      <c r="G422" s="6"/>
      <c r="H422" s="6"/>
      <c r="I422" s="6"/>
    </row>
    <row r="423" spans="7:9">
      <c r="G423" s="6"/>
      <c r="H423" s="6"/>
      <c r="I423" s="6"/>
    </row>
    <row r="424" spans="7:9">
      <c r="G424" s="6"/>
      <c r="H424" s="6"/>
      <c r="I424" s="6"/>
    </row>
    <row r="425" spans="7:9">
      <c r="G425" s="6"/>
      <c r="H425" s="6"/>
      <c r="I425" s="6"/>
    </row>
    <row r="426" spans="7:9">
      <c r="G426" s="6"/>
      <c r="H426" s="6"/>
      <c r="I426" s="6"/>
    </row>
    <row r="427" spans="7:9">
      <c r="G427" s="6"/>
      <c r="H427" s="6"/>
      <c r="I427" s="6"/>
    </row>
    <row r="428" spans="7:9">
      <c r="G428" s="6"/>
      <c r="H428" s="6"/>
      <c r="I428" s="6"/>
    </row>
    <row r="429" spans="7:9">
      <c r="G429" s="6"/>
      <c r="H429" s="6"/>
      <c r="I429" s="6"/>
    </row>
    <row r="430" spans="7:9">
      <c r="G430" s="6"/>
      <c r="H430" s="6"/>
      <c r="I430" s="6"/>
    </row>
    <row r="431" spans="7:9">
      <c r="G431" s="6"/>
      <c r="H431" s="6"/>
      <c r="I431" s="6"/>
    </row>
    <row r="432" spans="7:9">
      <c r="G432" s="6"/>
      <c r="H432" s="6"/>
      <c r="I432" s="6"/>
    </row>
    <row r="433" spans="7:9">
      <c r="G433" s="6"/>
      <c r="H433" s="6"/>
      <c r="I433" s="6"/>
    </row>
    <row r="434" spans="7:9">
      <c r="G434" s="6"/>
      <c r="H434" s="6"/>
      <c r="I434" s="6"/>
    </row>
    <row r="435" spans="7:9">
      <c r="G435" s="6"/>
      <c r="H435" s="6"/>
      <c r="I435" s="6"/>
    </row>
    <row r="436" spans="7:9">
      <c r="G436" s="6"/>
      <c r="H436" s="6"/>
      <c r="I436" s="6"/>
    </row>
    <row r="437" spans="7:9">
      <c r="G437" s="6"/>
      <c r="H437" s="6"/>
      <c r="I437" s="6"/>
    </row>
    <row r="438" spans="7:9">
      <c r="G438" s="6"/>
      <c r="H438" s="6"/>
      <c r="I438" s="6"/>
    </row>
    <row r="439" spans="7:9">
      <c r="G439" s="6"/>
      <c r="H439" s="6"/>
      <c r="I439" s="6"/>
    </row>
    <row r="440" spans="7:9">
      <c r="G440" s="6"/>
      <c r="H440" s="6"/>
      <c r="I440" s="6"/>
    </row>
    <row r="441" spans="7:9">
      <c r="G441" s="6"/>
      <c r="H441" s="6"/>
      <c r="I441" s="6"/>
    </row>
    <row r="442" spans="7:9">
      <c r="G442" s="6"/>
      <c r="H442" s="6"/>
      <c r="I442" s="6"/>
    </row>
    <row r="443" spans="7:9">
      <c r="G443" s="6"/>
      <c r="H443" s="6"/>
      <c r="I443" s="6"/>
    </row>
    <row r="444" spans="7:9">
      <c r="G444" s="6"/>
      <c r="H444" s="6"/>
      <c r="I444" s="6"/>
    </row>
    <row r="445" spans="7:9">
      <c r="G445" s="6"/>
      <c r="H445" s="6"/>
      <c r="I445" s="6"/>
    </row>
    <row r="446" spans="7:9">
      <c r="G446" s="6"/>
      <c r="H446" s="6"/>
      <c r="I446" s="6"/>
    </row>
    <row r="447" spans="7:9">
      <c r="G447" s="6"/>
      <c r="H447" s="6"/>
      <c r="I447" s="6"/>
    </row>
    <row r="448" spans="7:9">
      <c r="G448" s="6"/>
      <c r="H448" s="6"/>
      <c r="I448" s="6"/>
    </row>
    <row r="449" spans="7:9">
      <c r="G449" s="6"/>
      <c r="H449" s="6"/>
      <c r="I449" s="6"/>
    </row>
    <row r="450" spans="7:9">
      <c r="G450" s="6"/>
      <c r="H450" s="6"/>
      <c r="I450" s="6"/>
    </row>
    <row r="451" spans="7:9">
      <c r="G451" s="6"/>
      <c r="H451" s="6"/>
      <c r="I451" s="6"/>
    </row>
    <row r="452" spans="7:9">
      <c r="G452" s="6"/>
      <c r="H452" s="6"/>
      <c r="I452" s="6"/>
    </row>
    <row r="453" spans="7:9">
      <c r="G453" s="6"/>
      <c r="H453" s="6"/>
      <c r="I453" s="6"/>
    </row>
    <row r="454" spans="7:9">
      <c r="G454" s="6"/>
      <c r="H454" s="6"/>
      <c r="I454" s="6"/>
    </row>
    <row r="455" spans="7:9">
      <c r="G455" s="6"/>
      <c r="H455" s="6"/>
      <c r="I455" s="6"/>
    </row>
    <row r="456" spans="7:9">
      <c r="G456" s="6"/>
      <c r="H456" s="6"/>
      <c r="I456" s="6"/>
    </row>
    <row r="457" spans="7:9">
      <c r="G457" s="6"/>
      <c r="H457" s="6"/>
      <c r="I457" s="6"/>
    </row>
    <row r="458" spans="7:9">
      <c r="G458" s="6"/>
      <c r="H458" s="6"/>
      <c r="I458" s="6"/>
    </row>
    <row r="459" spans="7:9">
      <c r="G459" s="6"/>
      <c r="H459" s="6"/>
      <c r="I459" s="6"/>
    </row>
    <row r="460" spans="7:9">
      <c r="G460" s="6"/>
      <c r="H460" s="6"/>
      <c r="I460" s="6"/>
    </row>
    <row r="461" spans="7:9">
      <c r="G461" s="6"/>
      <c r="H461" s="6"/>
      <c r="I461" s="6"/>
    </row>
    <row r="462" spans="7:9">
      <c r="G462" s="6"/>
      <c r="H462" s="6"/>
      <c r="I462" s="6"/>
    </row>
    <row r="463" spans="7:9">
      <c r="G463" s="6"/>
      <c r="H463" s="6"/>
      <c r="I463" s="6"/>
    </row>
    <row r="464" spans="7:9">
      <c r="G464" s="6"/>
      <c r="H464" s="6"/>
      <c r="I464" s="6"/>
    </row>
    <row r="465" spans="7:9">
      <c r="G465" s="6"/>
      <c r="H465" s="6"/>
      <c r="I465" s="6"/>
    </row>
    <row r="466" spans="7:9">
      <c r="G466" s="6"/>
      <c r="H466" s="6"/>
      <c r="I466" s="6"/>
    </row>
    <row r="467" spans="7:9">
      <c r="G467" s="6"/>
      <c r="H467" s="6"/>
      <c r="I467" s="6"/>
    </row>
    <row r="468" spans="7:9">
      <c r="G468" s="6"/>
      <c r="H468" s="6"/>
      <c r="I468" s="6"/>
    </row>
    <row r="469" spans="7:9">
      <c r="G469" s="6"/>
      <c r="H469" s="6"/>
      <c r="I469" s="6"/>
    </row>
    <row r="470" spans="7:9">
      <c r="G470" s="6"/>
      <c r="H470" s="6"/>
      <c r="I470" s="6"/>
    </row>
    <row r="471" spans="7:9">
      <c r="G471" s="6"/>
      <c r="H471" s="6"/>
      <c r="I471" s="6"/>
    </row>
    <row r="472" spans="7:9">
      <c r="G472" s="6"/>
      <c r="H472" s="6"/>
      <c r="I472" s="6"/>
    </row>
    <row r="473" spans="7:9">
      <c r="G473" s="6"/>
      <c r="H473" s="6"/>
      <c r="I473" s="6"/>
    </row>
    <row r="474" spans="7:9">
      <c r="G474" s="6"/>
      <c r="H474" s="6"/>
      <c r="I474" s="6"/>
    </row>
    <row r="475" spans="7:9">
      <c r="G475" s="6"/>
      <c r="H475" s="6"/>
      <c r="I475" s="6"/>
    </row>
    <row r="476" spans="7:9">
      <c r="G476" s="6"/>
      <c r="H476" s="6"/>
      <c r="I476" s="6"/>
    </row>
    <row r="477" spans="7:9">
      <c r="G477" s="6"/>
      <c r="H477" s="6"/>
      <c r="I477" s="6"/>
    </row>
    <row r="478" spans="7:9">
      <c r="G478" s="6"/>
      <c r="H478" s="6"/>
      <c r="I478" s="6"/>
    </row>
    <row r="479" spans="7:9">
      <c r="G479" s="6"/>
      <c r="H479" s="6"/>
      <c r="I479" s="6"/>
    </row>
    <row r="480" spans="7:9">
      <c r="G480" s="6"/>
      <c r="H480" s="6"/>
      <c r="I480" s="6"/>
    </row>
    <row r="481" spans="7:9">
      <c r="G481" s="6"/>
      <c r="H481" s="6"/>
      <c r="I481" s="6"/>
    </row>
    <row r="482" spans="7:9">
      <c r="G482" s="6"/>
      <c r="H482" s="6"/>
      <c r="I482" s="6"/>
    </row>
    <row r="483" spans="7:9">
      <c r="G483" s="6"/>
      <c r="H483" s="6"/>
      <c r="I483" s="6"/>
    </row>
    <row r="484" spans="7:9">
      <c r="G484" s="6"/>
      <c r="H484" s="6"/>
      <c r="I484" s="6"/>
    </row>
    <row r="485" spans="7:9">
      <c r="G485" s="6"/>
      <c r="H485" s="6"/>
      <c r="I485" s="6"/>
    </row>
    <row r="486" spans="7:9">
      <c r="G486" s="6"/>
      <c r="H486" s="6"/>
      <c r="I486" s="6"/>
    </row>
    <row r="487" spans="7:9">
      <c r="G487" s="6"/>
      <c r="H487" s="6"/>
      <c r="I487" s="6"/>
    </row>
    <row r="488" spans="7:9">
      <c r="G488" s="6"/>
      <c r="H488" s="6"/>
      <c r="I488" s="6"/>
    </row>
    <row r="489" spans="7:9">
      <c r="G489" s="6"/>
      <c r="H489" s="6"/>
      <c r="I489" s="6"/>
    </row>
    <row r="490" spans="7:9">
      <c r="G490" s="6"/>
      <c r="H490" s="6"/>
      <c r="I490" s="6"/>
    </row>
    <row r="491" spans="7:9">
      <c r="G491" s="6"/>
      <c r="H491" s="6"/>
      <c r="I491" s="6"/>
    </row>
    <row r="492" spans="7:9">
      <c r="G492" s="6"/>
      <c r="H492" s="6"/>
      <c r="I492" s="6"/>
    </row>
    <row r="493" spans="7:9">
      <c r="G493" s="6"/>
      <c r="H493" s="6"/>
      <c r="I493" s="6"/>
    </row>
    <row r="494" spans="7:9">
      <c r="G494" s="6"/>
      <c r="H494" s="6"/>
      <c r="I494" s="6"/>
    </row>
    <row r="495" spans="7:9">
      <c r="G495" s="6"/>
      <c r="H495" s="6"/>
      <c r="I495" s="6"/>
    </row>
    <row r="496" spans="7:9">
      <c r="G496" s="6"/>
      <c r="H496" s="6"/>
      <c r="I496" s="6"/>
    </row>
    <row r="497" spans="7:9">
      <c r="G497" s="6"/>
      <c r="H497" s="6"/>
      <c r="I497" s="6"/>
    </row>
    <row r="498" spans="7:9">
      <c r="G498" s="6"/>
      <c r="H498" s="6"/>
      <c r="I498" s="6"/>
    </row>
    <row r="499" spans="7:9">
      <c r="G499" s="6"/>
      <c r="H499" s="6"/>
      <c r="I499" s="6"/>
    </row>
    <row r="500" spans="7:9">
      <c r="G500" s="6"/>
      <c r="H500" s="6"/>
      <c r="I500" s="6"/>
    </row>
    <row r="501" spans="7:9">
      <c r="G501" s="6"/>
      <c r="H501" s="6"/>
      <c r="I501" s="6"/>
    </row>
    <row r="502" spans="7:9">
      <c r="G502" s="6"/>
      <c r="H502" s="6"/>
      <c r="I502" s="6"/>
    </row>
    <row r="503" spans="7:9">
      <c r="G503" s="6"/>
      <c r="H503" s="6"/>
      <c r="I503" s="6"/>
    </row>
    <row r="504" spans="7:9">
      <c r="G504" s="6"/>
      <c r="H504" s="6"/>
      <c r="I504" s="6"/>
    </row>
    <row r="505" spans="7:9">
      <c r="G505" s="6"/>
      <c r="H505" s="6"/>
      <c r="I505" s="6"/>
    </row>
    <row r="506" spans="7:9">
      <c r="G506" s="6"/>
      <c r="H506" s="6"/>
      <c r="I506" s="6"/>
    </row>
    <row r="507" spans="7:9">
      <c r="G507" s="6"/>
      <c r="H507" s="6"/>
      <c r="I507" s="6"/>
    </row>
    <row r="508" spans="7:9">
      <c r="G508" s="6"/>
      <c r="H508" s="6"/>
      <c r="I508" s="6"/>
    </row>
    <row r="509" spans="7:9">
      <c r="G509" s="6"/>
      <c r="H509" s="6"/>
      <c r="I509" s="6"/>
    </row>
    <row r="510" spans="7:9">
      <c r="G510" s="6"/>
      <c r="H510" s="6"/>
      <c r="I510" s="6"/>
    </row>
    <row r="511" spans="7:9">
      <c r="G511" s="6"/>
      <c r="H511" s="6"/>
      <c r="I511" s="6"/>
    </row>
    <row r="512" spans="7:9">
      <c r="G512" s="6"/>
      <c r="H512" s="6"/>
      <c r="I512" s="6"/>
    </row>
    <row r="513" spans="7:9">
      <c r="G513" s="6"/>
      <c r="H513" s="6"/>
      <c r="I513" s="6"/>
    </row>
    <row r="514" spans="7:9">
      <c r="G514" s="6"/>
      <c r="H514" s="6"/>
      <c r="I514" s="6"/>
    </row>
    <row r="515" spans="7:9">
      <c r="G515" s="6"/>
      <c r="H515" s="6"/>
      <c r="I515" s="6"/>
    </row>
    <row r="516" spans="7:9">
      <c r="G516" s="6"/>
      <c r="H516" s="6"/>
      <c r="I516" s="6"/>
    </row>
    <row r="517" spans="7:9">
      <c r="G517" s="6"/>
      <c r="H517" s="6"/>
      <c r="I517" s="6"/>
    </row>
    <row r="518" spans="7:9">
      <c r="G518" s="6"/>
      <c r="H518" s="6"/>
      <c r="I518" s="6"/>
    </row>
    <row r="519" spans="7:9">
      <c r="G519" s="6"/>
      <c r="H519" s="6"/>
      <c r="I519" s="6"/>
    </row>
    <row r="520" spans="7:9">
      <c r="G520" s="6"/>
      <c r="H520" s="6"/>
      <c r="I520" s="6"/>
    </row>
    <row r="521" spans="7:9">
      <c r="G521" s="6"/>
      <c r="H521" s="6"/>
      <c r="I521" s="6"/>
    </row>
    <row r="522" spans="7:9">
      <c r="G522" s="6"/>
      <c r="H522" s="6"/>
      <c r="I522" s="6"/>
    </row>
    <row r="523" spans="7:9">
      <c r="G523" s="6"/>
      <c r="H523" s="6"/>
      <c r="I523" s="6"/>
    </row>
    <row r="524" spans="7:9">
      <c r="G524" s="6"/>
      <c r="H524" s="6"/>
      <c r="I524" s="6"/>
    </row>
    <row r="525" spans="7:9">
      <c r="G525" s="6"/>
      <c r="H525" s="6"/>
      <c r="I525" s="6"/>
    </row>
    <row r="526" spans="7:9">
      <c r="G526" s="6"/>
      <c r="H526" s="6"/>
      <c r="I526" s="6"/>
    </row>
    <row r="527" spans="7:9">
      <c r="G527" s="6"/>
      <c r="H527" s="6"/>
      <c r="I527" s="6"/>
    </row>
    <row r="528" spans="7:9">
      <c r="G528" s="6"/>
      <c r="H528" s="6"/>
      <c r="I528" s="6"/>
    </row>
    <row r="529" spans="7:9">
      <c r="G529" s="6"/>
      <c r="H529" s="6"/>
      <c r="I529" s="6"/>
    </row>
    <row r="530" spans="7:9">
      <c r="G530" s="6"/>
      <c r="H530" s="6"/>
      <c r="I530" s="6"/>
    </row>
    <row r="531" spans="7:9">
      <c r="G531" s="6"/>
      <c r="H531" s="6"/>
      <c r="I531" s="6"/>
    </row>
    <row r="532" spans="7:9">
      <c r="G532" s="6"/>
      <c r="H532" s="6"/>
      <c r="I532" s="6"/>
    </row>
    <row r="533" spans="7:9">
      <c r="G533" s="6"/>
      <c r="H533" s="6"/>
      <c r="I533" s="6"/>
    </row>
    <row r="534" spans="7:9">
      <c r="G534" s="6"/>
      <c r="H534" s="6"/>
      <c r="I534" s="6"/>
    </row>
    <row r="535" spans="7:9">
      <c r="G535" s="6"/>
      <c r="H535" s="6"/>
      <c r="I535" s="6"/>
    </row>
    <row r="536" spans="7:9">
      <c r="G536" s="6"/>
      <c r="H536" s="6"/>
      <c r="I536" s="6"/>
    </row>
    <row r="537" spans="7:9">
      <c r="G537" s="6"/>
      <c r="H537" s="6"/>
      <c r="I537" s="6"/>
    </row>
    <row r="538" spans="7:9">
      <c r="G538" s="6"/>
      <c r="H538" s="6"/>
      <c r="I538" s="6"/>
    </row>
    <row r="539" spans="7:9">
      <c r="G539" s="6"/>
      <c r="H539" s="6"/>
      <c r="I539" s="6"/>
    </row>
    <row r="540" spans="7:9">
      <c r="G540" s="6"/>
      <c r="H540" s="6"/>
      <c r="I540" s="6"/>
    </row>
    <row r="541" spans="7:9">
      <c r="G541" s="6"/>
      <c r="H541" s="6"/>
      <c r="I541" s="6"/>
    </row>
    <row r="542" spans="7:9">
      <c r="G542" s="6"/>
      <c r="H542" s="6"/>
      <c r="I542" s="6"/>
    </row>
    <row r="543" spans="7:9">
      <c r="G543" s="6"/>
      <c r="H543" s="6"/>
      <c r="I543" s="6"/>
    </row>
    <row r="544" spans="7:9">
      <c r="G544" s="6"/>
      <c r="H544" s="6"/>
      <c r="I544" s="6"/>
    </row>
    <row r="545" spans="7:9">
      <c r="G545" s="6"/>
      <c r="H545" s="6"/>
      <c r="I545" s="6"/>
    </row>
    <row r="546" spans="7:9">
      <c r="G546" s="6"/>
      <c r="H546" s="6"/>
      <c r="I546" s="6"/>
    </row>
    <row r="547" spans="7:9">
      <c r="G547" s="6"/>
      <c r="H547" s="6"/>
      <c r="I547" s="6"/>
    </row>
    <row r="548" spans="7:9">
      <c r="G548" s="6"/>
      <c r="H548" s="6"/>
      <c r="I548" s="6"/>
    </row>
    <row r="549" spans="7:9">
      <c r="G549" s="6"/>
      <c r="H549" s="6"/>
      <c r="I549" s="6"/>
    </row>
    <row r="550" spans="7:9">
      <c r="G550" s="6"/>
      <c r="H550" s="6"/>
      <c r="I550" s="6"/>
    </row>
    <row r="551" spans="7:9">
      <c r="G551" s="6"/>
      <c r="H551" s="6"/>
      <c r="I551" s="6"/>
    </row>
    <row r="552" spans="7:9">
      <c r="G552" s="6"/>
      <c r="H552" s="6"/>
      <c r="I552" s="6"/>
    </row>
    <row r="553" spans="7:9">
      <c r="G553" s="6"/>
      <c r="H553" s="6"/>
      <c r="I553" s="6"/>
    </row>
    <row r="554" spans="7:9">
      <c r="G554" s="6"/>
      <c r="H554" s="6"/>
      <c r="I554" s="6"/>
    </row>
    <row r="555" spans="7:9">
      <c r="G555" s="6"/>
      <c r="H555" s="6"/>
      <c r="I555" s="6"/>
    </row>
    <row r="556" spans="7:9">
      <c r="G556" s="6"/>
      <c r="H556" s="6"/>
      <c r="I556" s="6"/>
    </row>
    <row r="557" spans="7:9">
      <c r="G557" s="6"/>
      <c r="H557" s="6"/>
      <c r="I557" s="6"/>
    </row>
    <row r="558" spans="7:9">
      <c r="G558" s="6"/>
      <c r="H558" s="6"/>
      <c r="I558" s="6"/>
    </row>
    <row r="559" spans="7:9">
      <c r="G559" s="6"/>
      <c r="H559" s="6"/>
      <c r="I559" s="6"/>
    </row>
    <row r="560" spans="7:9">
      <c r="G560" s="6"/>
      <c r="H560" s="6"/>
      <c r="I560" s="6"/>
    </row>
    <row r="561" spans="7:9">
      <c r="G561" s="6"/>
      <c r="H561" s="6"/>
      <c r="I561" s="6"/>
    </row>
    <row r="562" spans="7:9">
      <c r="G562" s="6"/>
      <c r="H562" s="6"/>
      <c r="I562" s="6"/>
    </row>
    <row r="563" spans="7:9">
      <c r="G563" s="6"/>
      <c r="H563" s="6"/>
      <c r="I563" s="6"/>
    </row>
    <row r="564" spans="7:9">
      <c r="G564" s="6"/>
      <c r="H564" s="6"/>
      <c r="I564" s="6"/>
    </row>
    <row r="565" spans="7:9">
      <c r="G565" s="6"/>
      <c r="H565" s="6"/>
      <c r="I565" s="6"/>
    </row>
    <row r="566" spans="7:9">
      <c r="G566" s="6"/>
      <c r="H566" s="6"/>
      <c r="I566" s="6"/>
    </row>
    <row r="567" spans="7:9">
      <c r="G567" s="6"/>
      <c r="H567" s="6"/>
      <c r="I567" s="6"/>
    </row>
    <row r="568" spans="7:9">
      <c r="G568" s="6"/>
      <c r="H568" s="6"/>
      <c r="I568" s="6"/>
    </row>
    <row r="569" spans="7:9">
      <c r="G569" s="6"/>
      <c r="H569" s="6"/>
      <c r="I569" s="6"/>
    </row>
    <row r="570" spans="7:9">
      <c r="G570" s="6"/>
      <c r="H570" s="6"/>
      <c r="I570" s="6"/>
    </row>
    <row r="571" spans="7:9">
      <c r="G571" s="6"/>
      <c r="H571" s="6"/>
      <c r="I571" s="6"/>
    </row>
    <row r="572" spans="7:9">
      <c r="G572" s="6"/>
      <c r="H572" s="6"/>
      <c r="I572" s="6"/>
    </row>
    <row r="573" spans="7:9">
      <c r="G573" s="6"/>
      <c r="H573" s="6"/>
      <c r="I573" s="6"/>
    </row>
    <row r="574" spans="7:9">
      <c r="G574" s="6"/>
      <c r="H574" s="6"/>
      <c r="I574" s="6"/>
    </row>
    <row r="575" spans="7:9">
      <c r="G575" s="6"/>
      <c r="H575" s="6"/>
      <c r="I575" s="6"/>
    </row>
    <row r="576" spans="7:9">
      <c r="G576" s="6"/>
      <c r="H576" s="6"/>
      <c r="I576" s="6"/>
    </row>
    <row r="577" spans="7:9">
      <c r="G577" s="6"/>
      <c r="H577" s="6"/>
      <c r="I577" s="6"/>
    </row>
    <row r="578" spans="7:9">
      <c r="G578" s="6"/>
      <c r="H578" s="6"/>
      <c r="I578" s="6"/>
    </row>
    <row r="579" spans="7:9">
      <c r="G579" s="6"/>
      <c r="H579" s="6"/>
      <c r="I579" s="6"/>
    </row>
    <row r="580" spans="7:9">
      <c r="G580" s="6"/>
      <c r="H580" s="6"/>
      <c r="I580" s="6"/>
    </row>
    <row r="581" spans="7:9">
      <c r="G581" s="6"/>
      <c r="H581" s="6"/>
      <c r="I581" s="6"/>
    </row>
    <row r="582" spans="7:9">
      <c r="G582" s="6"/>
      <c r="H582" s="6"/>
      <c r="I582" s="6"/>
    </row>
    <row r="583" spans="7:9">
      <c r="G583" s="6"/>
      <c r="H583" s="6"/>
      <c r="I583" s="6"/>
    </row>
    <row r="584" spans="7:9">
      <c r="G584" s="6"/>
      <c r="H584" s="6"/>
      <c r="I584" s="6"/>
    </row>
    <row r="585" spans="7:9">
      <c r="G585" s="6"/>
      <c r="H585" s="6"/>
      <c r="I585" s="6"/>
    </row>
    <row r="586" spans="7:9">
      <c r="G586" s="6"/>
      <c r="H586" s="6"/>
      <c r="I586" s="6"/>
    </row>
    <row r="587" spans="7:9">
      <c r="G587" s="6"/>
      <c r="H587" s="6"/>
      <c r="I587" s="6"/>
    </row>
    <row r="588" spans="7:9">
      <c r="G588" s="6"/>
      <c r="H588" s="6"/>
      <c r="I588" s="6"/>
    </row>
    <row r="589" spans="7:9">
      <c r="G589" s="6"/>
      <c r="H589" s="6"/>
      <c r="I589" s="6"/>
    </row>
    <row r="590" spans="7:9">
      <c r="G590" s="6"/>
      <c r="H590" s="6"/>
      <c r="I590" s="6"/>
    </row>
    <row r="591" spans="7:9">
      <c r="G591" s="6"/>
      <c r="H591" s="6"/>
      <c r="I591" s="6"/>
    </row>
    <row r="592" spans="7:9">
      <c r="G592" s="6"/>
      <c r="H592" s="6"/>
      <c r="I592" s="6"/>
    </row>
    <row r="593" spans="7:9">
      <c r="G593" s="6"/>
      <c r="H593" s="6"/>
      <c r="I593" s="6"/>
    </row>
    <row r="594" spans="7:9">
      <c r="G594" s="6"/>
      <c r="H594" s="6"/>
      <c r="I594" s="6"/>
    </row>
    <row r="595" spans="7:9">
      <c r="G595" s="6"/>
      <c r="H595" s="6"/>
      <c r="I595" s="6"/>
    </row>
    <row r="596" spans="7:9">
      <c r="G596" s="6"/>
      <c r="H596" s="6"/>
      <c r="I596" s="6"/>
    </row>
    <row r="597" spans="7:9">
      <c r="G597" s="6"/>
      <c r="H597" s="6"/>
      <c r="I597" s="6"/>
    </row>
    <row r="598" spans="7:9">
      <c r="G598" s="6"/>
      <c r="H598" s="6"/>
      <c r="I598" s="6"/>
    </row>
    <row r="599" spans="7:9">
      <c r="G599" s="6"/>
      <c r="H599" s="6"/>
      <c r="I599" s="6"/>
    </row>
    <row r="600" spans="7:9">
      <c r="G600" s="6"/>
      <c r="H600" s="6"/>
      <c r="I600" s="6"/>
    </row>
    <row r="601" spans="7:9">
      <c r="G601" s="6"/>
      <c r="H601" s="6"/>
      <c r="I601" s="6"/>
    </row>
    <row r="602" spans="7:9">
      <c r="G602" s="6"/>
      <c r="H602" s="6"/>
      <c r="I602" s="6"/>
    </row>
    <row r="603" spans="7:9">
      <c r="G603" s="6"/>
      <c r="H603" s="6"/>
      <c r="I603" s="6"/>
    </row>
    <row r="604" spans="7:9">
      <c r="G604" s="6"/>
      <c r="H604" s="6"/>
      <c r="I604" s="6"/>
    </row>
    <row r="605" spans="7:9">
      <c r="G605" s="6"/>
      <c r="H605" s="6"/>
      <c r="I605" s="6"/>
    </row>
    <row r="606" spans="7:9">
      <c r="G606" s="6"/>
      <c r="H606" s="6"/>
      <c r="I606" s="6"/>
    </row>
    <row r="607" spans="7:9">
      <c r="G607" s="6"/>
      <c r="H607" s="6"/>
      <c r="I607" s="6"/>
    </row>
    <row r="608" spans="7:9">
      <c r="G608" s="6"/>
      <c r="H608" s="6"/>
      <c r="I608" s="6"/>
    </row>
    <row r="609" spans="7:9">
      <c r="G609" s="6"/>
      <c r="H609" s="6"/>
      <c r="I609" s="6"/>
    </row>
    <row r="610" spans="7:9">
      <c r="G610" s="6"/>
      <c r="H610" s="6"/>
      <c r="I610" s="6"/>
    </row>
    <row r="611" spans="7:9">
      <c r="G611" s="6"/>
      <c r="H611" s="6"/>
      <c r="I611" s="6"/>
    </row>
    <row r="612" spans="7:9">
      <c r="G612" s="6"/>
      <c r="H612" s="6"/>
      <c r="I612" s="6"/>
    </row>
    <row r="613" spans="7:9">
      <c r="G613" s="6"/>
      <c r="H613" s="6"/>
      <c r="I613" s="6"/>
    </row>
    <row r="614" spans="7:9">
      <c r="G614" s="6"/>
      <c r="H614" s="6"/>
      <c r="I614" s="6"/>
    </row>
    <row r="615" spans="7:9">
      <c r="G615" s="6"/>
      <c r="H615" s="6"/>
      <c r="I615" s="6"/>
    </row>
    <row r="616" spans="7:9">
      <c r="G616" s="6"/>
      <c r="H616" s="6"/>
      <c r="I616" s="6"/>
    </row>
    <row r="617" spans="7:9">
      <c r="G617" s="6"/>
      <c r="H617" s="6"/>
      <c r="I617" s="6"/>
    </row>
    <row r="618" spans="7:9">
      <c r="G618" s="6"/>
      <c r="H618" s="6"/>
      <c r="I618" s="6"/>
    </row>
    <row r="619" spans="7:9">
      <c r="G619" s="6"/>
      <c r="H619" s="6"/>
      <c r="I619" s="6"/>
    </row>
    <row r="620" spans="7:9">
      <c r="G620" s="6"/>
      <c r="H620" s="6"/>
      <c r="I620" s="6"/>
    </row>
    <row r="621" spans="7:9">
      <c r="G621" s="6"/>
      <c r="H621" s="6"/>
      <c r="I621" s="6"/>
    </row>
    <row r="622" spans="7:9">
      <c r="G622" s="6"/>
      <c r="H622" s="6"/>
      <c r="I622" s="6"/>
    </row>
    <row r="623" spans="7:9">
      <c r="G623" s="6"/>
      <c r="H623" s="6"/>
      <c r="I623" s="6"/>
    </row>
    <row r="624" spans="7:9">
      <c r="G624" s="6"/>
      <c r="H624" s="6"/>
      <c r="I624" s="6"/>
    </row>
    <row r="625" spans="7:9">
      <c r="G625" s="6"/>
      <c r="H625" s="6"/>
      <c r="I625" s="6"/>
    </row>
    <row r="626" spans="7:9">
      <c r="G626" s="6"/>
      <c r="H626" s="6"/>
      <c r="I626" s="6"/>
    </row>
    <row r="627" spans="7:9">
      <c r="G627" s="6"/>
      <c r="H627" s="6"/>
      <c r="I627" s="6"/>
    </row>
    <row r="628" spans="7:9">
      <c r="G628" s="6"/>
      <c r="H628" s="6"/>
      <c r="I628" s="6"/>
    </row>
    <row r="629" spans="7:9">
      <c r="G629" s="6"/>
      <c r="H629" s="6"/>
      <c r="I629" s="6"/>
    </row>
    <row r="630" spans="7:9">
      <c r="G630" s="6"/>
      <c r="H630" s="6"/>
      <c r="I630" s="6"/>
    </row>
    <row r="631" spans="7:9">
      <c r="G631" s="6"/>
      <c r="H631" s="6"/>
      <c r="I631" s="6"/>
    </row>
    <row r="632" spans="7:9">
      <c r="G632" s="6"/>
      <c r="H632" s="6"/>
      <c r="I632" s="6"/>
    </row>
    <row r="633" spans="7:9">
      <c r="G633" s="6"/>
      <c r="H633" s="6"/>
      <c r="I633" s="6"/>
    </row>
    <row r="634" spans="7:9">
      <c r="G634" s="6"/>
      <c r="H634" s="6"/>
      <c r="I634" s="6"/>
    </row>
    <row r="635" spans="7:9">
      <c r="G635" s="6"/>
      <c r="H635" s="6"/>
      <c r="I635" s="6"/>
    </row>
    <row r="636" spans="7:9">
      <c r="G636" s="6"/>
      <c r="H636" s="6"/>
      <c r="I636" s="6"/>
    </row>
    <row r="637" spans="7:9">
      <c r="G637" s="6"/>
      <c r="H637" s="6"/>
      <c r="I637" s="6"/>
    </row>
    <row r="638" spans="7:9">
      <c r="G638" s="6"/>
      <c r="H638" s="6"/>
      <c r="I638" s="6"/>
    </row>
    <row r="639" spans="7:9">
      <c r="G639" s="6"/>
      <c r="H639" s="6"/>
      <c r="I639" s="6"/>
    </row>
    <row r="640" spans="7:9">
      <c r="G640" s="6"/>
      <c r="H640" s="6"/>
      <c r="I640" s="6"/>
    </row>
    <row r="641" spans="7:9">
      <c r="G641" s="6"/>
      <c r="H641" s="6"/>
      <c r="I641" s="6"/>
    </row>
    <row r="642" spans="7:9">
      <c r="G642" s="6"/>
      <c r="H642" s="6"/>
      <c r="I642" s="6"/>
    </row>
    <row r="643" spans="7:9">
      <c r="G643" s="6"/>
      <c r="H643" s="6"/>
      <c r="I643" s="6"/>
    </row>
    <row r="644" spans="7:9">
      <c r="G644" s="6"/>
      <c r="H644" s="6"/>
      <c r="I644" s="6"/>
    </row>
    <row r="645" spans="7:9">
      <c r="G645" s="6"/>
      <c r="H645" s="6"/>
      <c r="I645" s="6"/>
    </row>
    <row r="646" spans="7:9">
      <c r="G646" s="6"/>
      <c r="H646" s="6"/>
      <c r="I646" s="6"/>
    </row>
    <row r="647" spans="7:9">
      <c r="G647" s="6"/>
      <c r="H647" s="6"/>
      <c r="I647" s="6"/>
    </row>
    <row r="648" spans="7:9">
      <c r="G648" s="6"/>
      <c r="H648" s="6"/>
      <c r="I648" s="6"/>
    </row>
    <row r="649" spans="7:9">
      <c r="G649" s="6"/>
      <c r="H649" s="6"/>
      <c r="I649" s="6"/>
    </row>
    <row r="650" spans="7:9">
      <c r="G650" s="6"/>
      <c r="H650" s="6"/>
      <c r="I650" s="6"/>
    </row>
    <row r="651" spans="7:9">
      <c r="G651" s="6"/>
      <c r="H651" s="6"/>
      <c r="I651" s="6"/>
    </row>
    <row r="652" spans="7:9">
      <c r="G652" s="6"/>
      <c r="H652" s="6"/>
      <c r="I652" s="6"/>
    </row>
    <row r="653" spans="7:9">
      <c r="G653" s="6"/>
      <c r="H653" s="6"/>
      <c r="I653" s="6"/>
    </row>
    <row r="654" spans="7:9">
      <c r="G654" s="6"/>
      <c r="H654" s="6"/>
      <c r="I654" s="6"/>
    </row>
    <row r="655" spans="7:9">
      <c r="G655" s="6"/>
      <c r="H655" s="6"/>
      <c r="I655" s="6"/>
    </row>
    <row r="656" spans="7:9">
      <c r="G656" s="6"/>
      <c r="H656" s="6"/>
      <c r="I656" s="6"/>
    </row>
    <row r="657" spans="7:9">
      <c r="G657" s="6"/>
      <c r="H657" s="6"/>
      <c r="I657" s="6"/>
    </row>
    <row r="658" spans="7:9">
      <c r="G658" s="6"/>
      <c r="H658" s="6"/>
      <c r="I658" s="6"/>
    </row>
    <row r="659" spans="7:9">
      <c r="G659" s="6"/>
      <c r="H659" s="6"/>
      <c r="I659" s="6"/>
    </row>
    <row r="660" spans="7:9">
      <c r="G660" s="6"/>
      <c r="H660" s="6"/>
      <c r="I660" s="6"/>
    </row>
    <row r="661" spans="7:9">
      <c r="G661" s="6"/>
      <c r="H661" s="6"/>
      <c r="I661" s="6"/>
    </row>
    <row r="662" spans="7:9">
      <c r="G662" s="6"/>
      <c r="H662" s="6"/>
      <c r="I662" s="6"/>
    </row>
    <row r="663" spans="7:9">
      <c r="G663" s="6"/>
      <c r="H663" s="6"/>
      <c r="I663" s="6"/>
    </row>
    <row r="664" spans="7:9">
      <c r="G664" s="6"/>
      <c r="H664" s="6"/>
      <c r="I664" s="6"/>
    </row>
    <row r="665" spans="7:9">
      <c r="G665" s="6"/>
      <c r="H665" s="6"/>
      <c r="I665" s="6"/>
    </row>
    <row r="666" spans="7:9">
      <c r="G666" s="6"/>
      <c r="H666" s="6"/>
      <c r="I666" s="6"/>
    </row>
    <row r="667" spans="7:9">
      <c r="G667" s="6"/>
      <c r="H667" s="6"/>
      <c r="I667" s="6"/>
    </row>
    <row r="668" spans="7:9">
      <c r="G668" s="6"/>
      <c r="H668" s="6"/>
      <c r="I668" s="6"/>
    </row>
    <row r="669" spans="7:9">
      <c r="G669" s="6"/>
      <c r="H669" s="6"/>
      <c r="I669" s="6"/>
    </row>
    <row r="670" spans="7:9">
      <c r="G670" s="6"/>
      <c r="H670" s="6"/>
      <c r="I670" s="6"/>
    </row>
    <row r="671" spans="7:9">
      <c r="G671" s="6"/>
      <c r="H671" s="6"/>
      <c r="I671" s="6"/>
    </row>
    <row r="672" spans="7:9">
      <c r="G672" s="6"/>
      <c r="H672" s="6"/>
      <c r="I672" s="6"/>
    </row>
    <row r="673" spans="7:9">
      <c r="G673" s="6"/>
      <c r="H673" s="6"/>
      <c r="I673" s="6"/>
    </row>
    <row r="674" spans="7:9">
      <c r="G674" s="6"/>
      <c r="H674" s="6"/>
      <c r="I674" s="6"/>
    </row>
    <row r="675" spans="7:9">
      <c r="G675" s="6"/>
      <c r="H675" s="6"/>
      <c r="I675" s="6"/>
    </row>
    <row r="676" spans="7:9">
      <c r="G676" s="6"/>
      <c r="H676" s="6"/>
      <c r="I676" s="6"/>
    </row>
    <row r="677" spans="7:9">
      <c r="G677" s="6"/>
      <c r="H677" s="6"/>
      <c r="I677" s="6"/>
    </row>
    <row r="678" spans="7:9">
      <c r="G678" s="6"/>
      <c r="H678" s="6"/>
      <c r="I678" s="6"/>
    </row>
    <row r="679" spans="7:9">
      <c r="G679" s="6"/>
      <c r="H679" s="6"/>
      <c r="I679" s="6"/>
    </row>
    <row r="680" spans="7:9">
      <c r="G680" s="6"/>
      <c r="H680" s="6"/>
      <c r="I680" s="6"/>
    </row>
    <row r="681" spans="7:9">
      <c r="G681" s="6"/>
      <c r="H681" s="6"/>
      <c r="I681" s="6"/>
    </row>
    <row r="682" spans="7:9">
      <c r="G682" s="6"/>
      <c r="H682" s="6"/>
      <c r="I682" s="6"/>
    </row>
    <row r="683" spans="7:9">
      <c r="G683" s="6"/>
      <c r="H683" s="6"/>
      <c r="I683" s="6"/>
    </row>
    <row r="684" spans="7:9">
      <c r="G684" s="6"/>
      <c r="H684" s="6"/>
      <c r="I684" s="6"/>
    </row>
    <row r="685" spans="7:9">
      <c r="G685" s="6"/>
      <c r="H685" s="6"/>
      <c r="I685" s="6"/>
    </row>
    <row r="686" spans="7:9">
      <c r="G686" s="6"/>
      <c r="H686" s="6"/>
      <c r="I686" s="6"/>
    </row>
    <row r="687" spans="7:9">
      <c r="G687" s="6"/>
      <c r="H687" s="6"/>
      <c r="I687" s="6"/>
    </row>
    <row r="688" spans="7:9">
      <c r="G688" s="6"/>
      <c r="H688" s="6"/>
      <c r="I688" s="6"/>
    </row>
    <row r="689" spans="7:9">
      <c r="G689" s="6"/>
      <c r="H689" s="6"/>
      <c r="I689" s="6"/>
    </row>
    <row r="690" spans="7:9">
      <c r="G690" s="6"/>
      <c r="H690" s="6"/>
      <c r="I690" s="6"/>
    </row>
    <row r="691" spans="7:9">
      <c r="G691" s="6"/>
      <c r="H691" s="6"/>
      <c r="I691" s="6"/>
    </row>
    <row r="692" spans="7:9">
      <c r="G692" s="6"/>
      <c r="H692" s="6"/>
      <c r="I692" s="6"/>
    </row>
    <row r="693" spans="7:9">
      <c r="G693" s="6"/>
      <c r="H693" s="6"/>
      <c r="I693" s="6"/>
    </row>
    <row r="694" spans="7:9">
      <c r="G694" s="6"/>
      <c r="H694" s="6"/>
      <c r="I694" s="6"/>
    </row>
    <row r="695" spans="7:9">
      <c r="G695" s="6"/>
      <c r="H695" s="6"/>
      <c r="I695" s="6"/>
    </row>
    <row r="696" spans="7:9">
      <c r="G696" s="6"/>
      <c r="H696" s="6"/>
      <c r="I696" s="6"/>
    </row>
    <row r="697" spans="7:9">
      <c r="G697" s="6"/>
      <c r="H697" s="6"/>
      <c r="I697" s="6"/>
    </row>
    <row r="698" spans="7:9">
      <c r="G698" s="6"/>
      <c r="H698" s="6"/>
      <c r="I698" s="6"/>
    </row>
    <row r="699" spans="7:9">
      <c r="G699" s="6"/>
      <c r="H699" s="6"/>
      <c r="I699" s="6"/>
    </row>
    <row r="700" spans="7:9">
      <c r="G700" s="6"/>
      <c r="H700" s="6"/>
      <c r="I700" s="6"/>
    </row>
    <row r="701" spans="7:9">
      <c r="G701" s="6"/>
      <c r="H701" s="6"/>
      <c r="I701" s="6"/>
    </row>
    <row r="702" spans="7:9">
      <c r="G702" s="6"/>
      <c r="H702" s="6"/>
      <c r="I702" s="6"/>
    </row>
    <row r="703" spans="7:9">
      <c r="G703" s="6"/>
      <c r="H703" s="6"/>
      <c r="I703" s="6"/>
    </row>
    <row r="704" spans="7:9">
      <c r="G704" s="6"/>
      <c r="H704" s="6"/>
      <c r="I704" s="6"/>
    </row>
    <row r="705" spans="7:9">
      <c r="G705" s="6"/>
      <c r="H705" s="6"/>
      <c r="I705" s="6"/>
    </row>
    <row r="706" spans="7:9">
      <c r="G706" s="6"/>
      <c r="H706" s="6"/>
      <c r="I706" s="6"/>
    </row>
    <row r="707" spans="7:9">
      <c r="G707" s="6"/>
      <c r="H707" s="6"/>
      <c r="I707" s="6"/>
    </row>
    <row r="708" spans="7:9">
      <c r="G708" s="6"/>
      <c r="H708" s="6"/>
      <c r="I708" s="6"/>
    </row>
    <row r="709" spans="7:9">
      <c r="G709" s="6"/>
      <c r="H709" s="6"/>
      <c r="I709" s="6"/>
    </row>
    <row r="710" spans="7:9">
      <c r="G710" s="6"/>
      <c r="H710" s="6"/>
      <c r="I710" s="6"/>
    </row>
    <row r="711" spans="7:9">
      <c r="G711" s="6"/>
      <c r="H711" s="6"/>
      <c r="I711" s="6"/>
    </row>
    <row r="712" spans="7:9">
      <c r="G712" s="6"/>
      <c r="H712" s="6"/>
      <c r="I712" s="6"/>
    </row>
    <row r="713" spans="7:9">
      <c r="G713" s="6"/>
      <c r="H713" s="6"/>
      <c r="I713" s="6"/>
    </row>
    <row r="714" spans="7:9">
      <c r="G714" s="6"/>
      <c r="H714" s="6"/>
      <c r="I714" s="6"/>
    </row>
    <row r="715" spans="7:9">
      <c r="G715" s="6"/>
      <c r="H715" s="6"/>
      <c r="I715" s="6"/>
    </row>
    <row r="716" spans="7:9">
      <c r="G716" s="6"/>
      <c r="H716" s="6"/>
      <c r="I716" s="6"/>
    </row>
    <row r="717" spans="7:9">
      <c r="G717" s="6"/>
      <c r="H717" s="6"/>
      <c r="I717" s="6"/>
    </row>
    <row r="718" spans="7:9">
      <c r="G718" s="6"/>
      <c r="H718" s="6"/>
      <c r="I718" s="6"/>
    </row>
    <row r="719" spans="7:9">
      <c r="G719" s="6"/>
      <c r="H719" s="6"/>
      <c r="I719" s="6"/>
    </row>
    <row r="720" spans="7:9">
      <c r="G720" s="6"/>
      <c r="H720" s="6"/>
      <c r="I720" s="6"/>
    </row>
    <row r="721" spans="7:9">
      <c r="G721" s="6"/>
      <c r="H721" s="6"/>
      <c r="I721" s="6"/>
    </row>
    <row r="722" spans="7:9">
      <c r="G722" s="6"/>
      <c r="H722" s="6"/>
      <c r="I722" s="6"/>
    </row>
    <row r="723" spans="7:9">
      <c r="G723" s="6"/>
      <c r="H723" s="6"/>
      <c r="I723" s="6"/>
    </row>
    <row r="724" spans="7:9">
      <c r="G724" s="6"/>
      <c r="H724" s="6"/>
      <c r="I724" s="6"/>
    </row>
    <row r="725" spans="7:9">
      <c r="G725" s="6"/>
      <c r="H725" s="6"/>
      <c r="I725" s="6"/>
    </row>
    <row r="726" spans="7:9">
      <c r="G726" s="6"/>
      <c r="H726" s="6"/>
      <c r="I726" s="6"/>
    </row>
    <row r="727" spans="7:9">
      <c r="G727" s="6"/>
      <c r="H727" s="6"/>
      <c r="I727" s="6"/>
    </row>
    <row r="728" spans="7:9">
      <c r="G728" s="6"/>
      <c r="H728" s="6"/>
      <c r="I728" s="6"/>
    </row>
    <row r="729" spans="7:9">
      <c r="G729" s="6"/>
      <c r="H729" s="6"/>
      <c r="I729" s="6"/>
    </row>
    <row r="730" spans="7:9">
      <c r="G730" s="6"/>
      <c r="H730" s="6"/>
      <c r="I730" s="6"/>
    </row>
    <row r="731" spans="7:9">
      <c r="G731" s="6"/>
      <c r="H731" s="6"/>
      <c r="I731" s="6"/>
    </row>
    <row r="732" spans="7:9">
      <c r="G732" s="6"/>
      <c r="H732" s="6"/>
      <c r="I732" s="6"/>
    </row>
    <row r="733" spans="7:9">
      <c r="G733" s="6"/>
      <c r="H733" s="6"/>
      <c r="I733" s="6"/>
    </row>
    <row r="734" spans="7:9">
      <c r="G734" s="6"/>
      <c r="H734" s="6"/>
      <c r="I734" s="6"/>
    </row>
    <row r="735" spans="7:9">
      <c r="G735" s="6"/>
      <c r="H735" s="6"/>
      <c r="I735" s="6"/>
    </row>
    <row r="736" spans="7:9">
      <c r="G736" s="6"/>
      <c r="H736" s="6"/>
      <c r="I736" s="6"/>
    </row>
    <row r="737" spans="7:9">
      <c r="G737" s="6"/>
      <c r="H737" s="6"/>
      <c r="I737" s="6"/>
    </row>
    <row r="738" spans="7:9">
      <c r="G738" s="6"/>
      <c r="H738" s="6"/>
      <c r="I738" s="6"/>
    </row>
    <row r="739" spans="7:9">
      <c r="G739" s="6"/>
      <c r="H739" s="6"/>
      <c r="I739" s="6"/>
    </row>
    <row r="740" spans="7:9">
      <c r="G740" s="6"/>
      <c r="H740" s="6"/>
      <c r="I740" s="6"/>
    </row>
    <row r="741" spans="7:9">
      <c r="G741" s="6"/>
      <c r="H741" s="6"/>
      <c r="I741" s="6"/>
    </row>
    <row r="742" spans="7:9">
      <c r="G742" s="6"/>
      <c r="H742" s="6"/>
      <c r="I742" s="6"/>
    </row>
    <row r="743" spans="7:9">
      <c r="G743" s="6"/>
      <c r="H743" s="6"/>
      <c r="I743" s="6"/>
    </row>
    <row r="744" spans="7:9">
      <c r="G744" s="6"/>
      <c r="H744" s="6"/>
      <c r="I744" s="6"/>
    </row>
    <row r="745" spans="7:9">
      <c r="G745" s="6"/>
      <c r="H745" s="6"/>
      <c r="I745" s="6"/>
    </row>
    <row r="746" spans="7:9">
      <c r="G746" s="6"/>
      <c r="H746" s="6"/>
      <c r="I746" s="6"/>
    </row>
    <row r="747" spans="7:9">
      <c r="G747" s="6"/>
      <c r="H747" s="6"/>
      <c r="I747" s="6"/>
    </row>
    <row r="748" spans="7:9">
      <c r="G748" s="6"/>
      <c r="H748" s="6"/>
      <c r="I748" s="6"/>
    </row>
    <row r="749" spans="7:9">
      <c r="G749" s="6"/>
      <c r="H749" s="6"/>
      <c r="I749" s="6"/>
    </row>
    <row r="750" spans="7:9">
      <c r="G750" s="6"/>
      <c r="H750" s="6"/>
      <c r="I750" s="6"/>
    </row>
    <row r="751" spans="7:9">
      <c r="G751" s="6"/>
      <c r="H751" s="6"/>
      <c r="I751" s="6"/>
    </row>
    <row r="752" spans="7:9">
      <c r="G752" s="6"/>
      <c r="H752" s="6"/>
      <c r="I752" s="6"/>
    </row>
    <row r="753" spans="7:9">
      <c r="G753" s="6"/>
      <c r="H753" s="6"/>
      <c r="I753" s="6"/>
    </row>
    <row r="754" spans="7:9">
      <c r="G754" s="6"/>
      <c r="H754" s="6"/>
      <c r="I754" s="6"/>
    </row>
    <row r="755" spans="7:9">
      <c r="G755" s="6"/>
      <c r="H755" s="6"/>
      <c r="I755" s="6"/>
    </row>
    <row r="756" spans="7:9">
      <c r="G756" s="6"/>
      <c r="H756" s="6"/>
      <c r="I756" s="6"/>
    </row>
    <row r="757" spans="7:9">
      <c r="G757" s="6"/>
      <c r="H757" s="6"/>
      <c r="I757" s="6"/>
    </row>
    <row r="758" spans="7:9">
      <c r="G758" s="6"/>
      <c r="H758" s="6"/>
      <c r="I758" s="6"/>
    </row>
    <row r="759" spans="7:9">
      <c r="G759" s="6"/>
      <c r="H759" s="6"/>
      <c r="I759" s="6"/>
    </row>
    <row r="760" spans="7:9">
      <c r="G760" s="6"/>
      <c r="H760" s="6"/>
      <c r="I760" s="6"/>
    </row>
    <row r="761" spans="7:9">
      <c r="G761" s="6"/>
      <c r="H761" s="6"/>
      <c r="I761" s="6"/>
    </row>
    <row r="762" spans="7:9">
      <c r="G762" s="6"/>
      <c r="H762" s="6"/>
      <c r="I762" s="6"/>
    </row>
    <row r="763" spans="7:9">
      <c r="G763" s="6"/>
      <c r="H763" s="6"/>
      <c r="I763" s="6"/>
    </row>
    <row r="764" spans="7:9">
      <c r="G764" s="6"/>
      <c r="H764" s="6"/>
      <c r="I764" s="6"/>
    </row>
    <row r="765" spans="7:9">
      <c r="G765" s="6"/>
      <c r="H765" s="6"/>
      <c r="I765" s="6"/>
    </row>
    <row r="766" spans="7:9">
      <c r="G766" s="6"/>
      <c r="H766" s="6"/>
      <c r="I766" s="6"/>
    </row>
    <row r="767" spans="7:9">
      <c r="G767" s="6"/>
      <c r="H767" s="6"/>
      <c r="I767" s="6"/>
    </row>
    <row r="768" spans="7:9">
      <c r="G768" s="6"/>
      <c r="H768" s="6"/>
      <c r="I768" s="6"/>
    </row>
    <row r="769" spans="7:9">
      <c r="G769" s="6"/>
      <c r="H769" s="6"/>
      <c r="I769" s="6"/>
    </row>
    <row r="770" spans="7:9">
      <c r="G770" s="6"/>
      <c r="H770" s="6"/>
      <c r="I770" s="6"/>
    </row>
    <row r="771" spans="7:9">
      <c r="G771" s="6"/>
      <c r="H771" s="6"/>
      <c r="I771" s="6"/>
    </row>
    <row r="772" spans="7:9">
      <c r="G772" s="6"/>
      <c r="H772" s="6"/>
      <c r="I772" s="6"/>
    </row>
    <row r="773" spans="7:9">
      <c r="G773" s="6"/>
      <c r="H773" s="6"/>
      <c r="I773" s="6"/>
    </row>
    <row r="774" spans="7:9">
      <c r="G774" s="6"/>
      <c r="H774" s="6"/>
      <c r="I774" s="6"/>
    </row>
    <row r="775" spans="7:9">
      <c r="G775" s="6"/>
      <c r="H775" s="6"/>
      <c r="I775" s="6"/>
    </row>
    <row r="776" spans="7:9">
      <c r="G776" s="6"/>
      <c r="H776" s="6"/>
      <c r="I776" s="6"/>
    </row>
    <row r="777" spans="7:9">
      <c r="G777" s="6"/>
      <c r="H777" s="6"/>
      <c r="I777" s="6"/>
    </row>
    <row r="778" spans="7:9">
      <c r="G778" s="6"/>
      <c r="H778" s="6"/>
      <c r="I778" s="6"/>
    </row>
    <row r="779" spans="7:9">
      <c r="G779" s="6"/>
      <c r="H779" s="6"/>
      <c r="I779" s="6"/>
    </row>
    <row r="780" spans="7:9">
      <c r="G780" s="6"/>
      <c r="H780" s="6"/>
      <c r="I780" s="6"/>
    </row>
    <row r="781" spans="7:9">
      <c r="G781" s="6"/>
      <c r="H781" s="6"/>
      <c r="I781" s="6"/>
    </row>
    <row r="782" spans="7:9">
      <c r="G782" s="6"/>
      <c r="H782" s="6"/>
      <c r="I782" s="6"/>
    </row>
    <row r="783" spans="7:9">
      <c r="G783" s="6"/>
      <c r="H783" s="6"/>
      <c r="I783" s="6"/>
    </row>
    <row r="784" spans="7:9">
      <c r="G784" s="6"/>
      <c r="H784" s="6"/>
      <c r="I784" s="6"/>
    </row>
    <row r="785" spans="7:9">
      <c r="G785" s="6"/>
      <c r="H785" s="6"/>
      <c r="I785" s="6"/>
    </row>
    <row r="786" spans="7:9">
      <c r="G786" s="6"/>
      <c r="H786" s="6"/>
      <c r="I786" s="6"/>
    </row>
    <row r="787" spans="7:9">
      <c r="G787" s="6"/>
      <c r="H787" s="6"/>
      <c r="I787" s="6"/>
    </row>
    <row r="788" spans="7:9">
      <c r="G788" s="6"/>
      <c r="H788" s="6"/>
      <c r="I788" s="6"/>
    </row>
    <row r="789" spans="7:9">
      <c r="G789" s="6"/>
      <c r="H789" s="6"/>
      <c r="I789" s="6"/>
    </row>
    <row r="790" spans="7:9">
      <c r="G790" s="6"/>
      <c r="H790" s="6"/>
      <c r="I790" s="6"/>
    </row>
    <row r="791" spans="7:9">
      <c r="G791" s="6"/>
      <c r="H791" s="6"/>
      <c r="I791" s="6"/>
    </row>
    <row r="792" spans="7:9">
      <c r="G792" s="6"/>
      <c r="H792" s="6"/>
      <c r="I792" s="6"/>
    </row>
    <row r="793" spans="7:9">
      <c r="G793" s="6"/>
      <c r="H793" s="6"/>
      <c r="I793" s="6"/>
    </row>
    <row r="794" spans="7:9">
      <c r="G794" s="6"/>
      <c r="H794" s="6"/>
      <c r="I794" s="6"/>
    </row>
    <row r="795" spans="7:9">
      <c r="G795" s="6"/>
      <c r="H795" s="6"/>
      <c r="I795" s="6"/>
    </row>
    <row r="796" spans="7:9">
      <c r="G796" s="6"/>
      <c r="H796" s="6"/>
      <c r="I796" s="6"/>
    </row>
    <row r="797" spans="7:9">
      <c r="G797" s="6"/>
      <c r="H797" s="6"/>
      <c r="I797" s="6"/>
    </row>
    <row r="798" spans="7:9">
      <c r="G798" s="6"/>
      <c r="H798" s="6"/>
      <c r="I798" s="6"/>
    </row>
    <row r="799" spans="7:9">
      <c r="G799" s="6"/>
      <c r="H799" s="6"/>
      <c r="I799" s="6"/>
    </row>
    <row r="800" spans="7:9">
      <c r="G800" s="6"/>
      <c r="H800" s="6"/>
      <c r="I800" s="6"/>
    </row>
    <row r="801" spans="7:9">
      <c r="G801" s="6"/>
      <c r="H801" s="6"/>
      <c r="I801" s="6"/>
    </row>
    <row r="802" spans="7:9">
      <c r="G802" s="6"/>
      <c r="H802" s="6"/>
      <c r="I802" s="6"/>
    </row>
    <row r="803" spans="7:9">
      <c r="G803" s="6"/>
      <c r="H803" s="6"/>
      <c r="I803" s="6"/>
    </row>
    <row r="804" spans="7:9">
      <c r="G804" s="6"/>
      <c r="H804" s="6"/>
      <c r="I804" s="6"/>
    </row>
    <row r="805" spans="7:9">
      <c r="G805" s="6"/>
      <c r="H805" s="6"/>
      <c r="I805" s="6"/>
    </row>
    <row r="806" spans="7:9">
      <c r="G806" s="6"/>
      <c r="H806" s="6"/>
      <c r="I806" s="6"/>
    </row>
    <row r="807" spans="7:9">
      <c r="G807" s="6"/>
      <c r="H807" s="6"/>
      <c r="I807" s="6"/>
    </row>
    <row r="808" spans="7:9">
      <c r="G808" s="6"/>
      <c r="H808" s="6"/>
      <c r="I808" s="6"/>
    </row>
    <row r="809" spans="7:9">
      <c r="G809" s="6"/>
      <c r="H809" s="6"/>
      <c r="I809" s="6"/>
    </row>
    <row r="810" spans="7:9">
      <c r="G810" s="6"/>
      <c r="H810" s="6"/>
      <c r="I810" s="6"/>
    </row>
    <row r="811" spans="7:9">
      <c r="G811" s="6"/>
      <c r="H811" s="6"/>
      <c r="I811" s="6"/>
    </row>
    <row r="812" spans="7:9">
      <c r="G812" s="6"/>
      <c r="H812" s="6"/>
      <c r="I812" s="6"/>
    </row>
    <row r="813" spans="7:9">
      <c r="G813" s="6"/>
      <c r="H813" s="6"/>
      <c r="I813" s="6"/>
    </row>
    <row r="814" spans="7:9">
      <c r="G814" s="6"/>
      <c r="H814" s="6"/>
      <c r="I814" s="6"/>
    </row>
    <row r="815" spans="7:9">
      <c r="G815" s="6"/>
      <c r="H815" s="6"/>
      <c r="I815" s="6"/>
    </row>
    <row r="816" spans="7:9">
      <c r="G816" s="6"/>
      <c r="H816" s="6"/>
      <c r="I816" s="6"/>
    </row>
    <row r="817" spans="7:9">
      <c r="G817" s="6"/>
      <c r="H817" s="6"/>
      <c r="I817" s="6"/>
    </row>
    <row r="818" spans="7:9">
      <c r="G818" s="6"/>
      <c r="H818" s="6"/>
      <c r="I818" s="6"/>
    </row>
    <row r="819" spans="7:9">
      <c r="G819" s="6"/>
      <c r="H819" s="6"/>
      <c r="I819" s="6"/>
    </row>
    <row r="820" spans="7:9">
      <c r="G820" s="6"/>
      <c r="H820" s="6"/>
      <c r="I820" s="6"/>
    </row>
    <row r="821" spans="7:9">
      <c r="G821" s="6"/>
      <c r="H821" s="6"/>
      <c r="I821" s="6"/>
    </row>
    <row r="822" spans="7:9">
      <c r="G822" s="6"/>
      <c r="H822" s="6"/>
      <c r="I822" s="6"/>
    </row>
    <row r="823" spans="7:9">
      <c r="G823" s="6"/>
      <c r="H823" s="6"/>
      <c r="I823" s="6"/>
    </row>
    <row r="824" spans="7:9">
      <c r="G824" s="6"/>
      <c r="H824" s="6"/>
      <c r="I824" s="6"/>
    </row>
    <row r="825" spans="7:9">
      <c r="G825" s="6"/>
      <c r="H825" s="6"/>
      <c r="I825" s="6"/>
    </row>
    <row r="826" spans="7:9">
      <c r="G826" s="6"/>
      <c r="H826" s="6"/>
      <c r="I826" s="6"/>
    </row>
    <row r="827" spans="7:9">
      <c r="G827" s="6"/>
      <c r="H827" s="6"/>
      <c r="I827" s="6"/>
    </row>
    <row r="828" spans="7:9">
      <c r="G828" s="6"/>
      <c r="H828" s="6"/>
      <c r="I828" s="6"/>
    </row>
    <row r="829" spans="7:9">
      <c r="G829" s="6"/>
      <c r="H829" s="6"/>
      <c r="I829" s="6"/>
    </row>
    <row r="830" spans="7:9">
      <c r="G830" s="6"/>
      <c r="H830" s="6"/>
      <c r="I830" s="6"/>
    </row>
    <row r="831" spans="7:9">
      <c r="G831" s="6"/>
      <c r="H831" s="6"/>
      <c r="I831" s="6"/>
    </row>
    <row r="832" spans="7:9">
      <c r="G832" s="6"/>
      <c r="H832" s="6"/>
      <c r="I832" s="6"/>
    </row>
    <row r="833" spans="7:9">
      <c r="G833" s="6"/>
      <c r="H833" s="6"/>
      <c r="I833" s="6"/>
    </row>
    <row r="834" spans="7:9">
      <c r="G834" s="6"/>
      <c r="H834" s="6"/>
      <c r="I834" s="6"/>
    </row>
    <row r="835" spans="7:9">
      <c r="G835" s="6"/>
      <c r="H835" s="6"/>
      <c r="I835" s="6"/>
    </row>
    <row r="836" spans="7:9">
      <c r="G836" s="6"/>
      <c r="H836" s="6"/>
      <c r="I836" s="6"/>
    </row>
    <row r="837" spans="7:9">
      <c r="G837" s="6"/>
      <c r="H837" s="6"/>
      <c r="I837" s="6"/>
    </row>
    <row r="838" spans="7:9">
      <c r="G838" s="6"/>
      <c r="H838" s="6"/>
      <c r="I838" s="6"/>
    </row>
    <row r="839" spans="7:9">
      <c r="G839" s="6"/>
      <c r="H839" s="6"/>
      <c r="I839" s="6"/>
    </row>
    <row r="840" spans="7:9">
      <c r="G840" s="6"/>
      <c r="H840" s="6"/>
      <c r="I840" s="6"/>
    </row>
    <row r="841" spans="7:9">
      <c r="G841" s="6"/>
      <c r="H841" s="6"/>
      <c r="I841" s="6"/>
    </row>
    <row r="842" spans="7:9">
      <c r="G842" s="6"/>
      <c r="H842" s="6"/>
      <c r="I842" s="6"/>
    </row>
    <row r="843" spans="7:9">
      <c r="G843" s="6"/>
      <c r="H843" s="6"/>
      <c r="I843" s="6"/>
    </row>
    <row r="844" spans="7:9">
      <c r="G844" s="6"/>
      <c r="H844" s="6"/>
      <c r="I844" s="6"/>
    </row>
    <row r="845" spans="7:9">
      <c r="G845" s="6"/>
      <c r="H845" s="6"/>
      <c r="I845" s="6"/>
    </row>
    <row r="846" spans="7:9">
      <c r="G846" s="6"/>
      <c r="H846" s="6"/>
      <c r="I846" s="6"/>
    </row>
    <row r="847" spans="7:9">
      <c r="G847" s="6"/>
      <c r="H847" s="6"/>
      <c r="I847" s="6"/>
    </row>
    <row r="848" spans="7:9">
      <c r="G848" s="6"/>
      <c r="H848" s="6"/>
      <c r="I848" s="6"/>
    </row>
    <row r="849" spans="7:9">
      <c r="G849" s="6"/>
      <c r="H849" s="6"/>
      <c r="I849" s="6"/>
    </row>
    <row r="850" spans="7:9">
      <c r="G850" s="6"/>
      <c r="H850" s="6"/>
      <c r="I850" s="6"/>
    </row>
    <row r="851" spans="7:9">
      <c r="G851" s="6"/>
      <c r="H851" s="6"/>
      <c r="I851" s="6"/>
    </row>
    <row r="852" spans="7:9">
      <c r="G852" s="6"/>
      <c r="H852" s="6"/>
      <c r="I852" s="6"/>
    </row>
    <row r="853" spans="7:9">
      <c r="G853" s="6"/>
      <c r="H853" s="6"/>
      <c r="I853" s="6"/>
    </row>
    <row r="854" spans="7:9">
      <c r="G854" s="6"/>
      <c r="H854" s="6"/>
      <c r="I854" s="6"/>
    </row>
    <row r="855" spans="7:9">
      <c r="G855" s="6"/>
      <c r="H855" s="6"/>
      <c r="I855" s="6"/>
    </row>
    <row r="856" spans="7:9">
      <c r="G856" s="6"/>
      <c r="H856" s="6"/>
      <c r="I856" s="6"/>
    </row>
    <row r="857" spans="7:9">
      <c r="G857" s="6"/>
      <c r="H857" s="6"/>
      <c r="I857" s="6"/>
    </row>
    <row r="858" spans="7:9">
      <c r="G858" s="6"/>
      <c r="H858" s="6"/>
      <c r="I858" s="6"/>
    </row>
    <row r="859" spans="7:9">
      <c r="G859" s="6"/>
      <c r="H859" s="6"/>
      <c r="I859" s="6"/>
    </row>
    <row r="860" spans="7:9">
      <c r="G860" s="6"/>
      <c r="H860" s="6"/>
      <c r="I860" s="6"/>
    </row>
    <row r="861" spans="7:9">
      <c r="G861" s="6"/>
      <c r="H861" s="6"/>
      <c r="I861" s="6"/>
    </row>
    <row r="862" spans="7:9">
      <c r="G862" s="6"/>
      <c r="H862" s="6"/>
      <c r="I862" s="6"/>
    </row>
    <row r="863" spans="7:9">
      <c r="G863" s="6"/>
      <c r="H863" s="6"/>
      <c r="I863" s="6"/>
    </row>
    <row r="864" spans="7:9">
      <c r="G864" s="6"/>
      <c r="H864" s="6"/>
      <c r="I864" s="6"/>
    </row>
    <row r="865" spans="7:9">
      <c r="G865" s="6"/>
      <c r="H865" s="6"/>
      <c r="I865" s="6"/>
    </row>
    <row r="866" spans="7:9">
      <c r="G866" s="6"/>
      <c r="H866" s="6"/>
      <c r="I866" s="6"/>
    </row>
    <row r="867" spans="7:9">
      <c r="G867" s="6"/>
      <c r="H867" s="6"/>
      <c r="I867" s="6"/>
    </row>
    <row r="868" spans="7:9">
      <c r="G868" s="6"/>
      <c r="H868" s="6"/>
      <c r="I868" s="6"/>
    </row>
    <row r="869" spans="7:9">
      <c r="G869" s="6"/>
      <c r="H869" s="6"/>
      <c r="I869" s="6"/>
    </row>
    <row r="870" spans="7:9">
      <c r="G870" s="6"/>
      <c r="H870" s="6"/>
      <c r="I870" s="6"/>
    </row>
    <row r="871" spans="7:9">
      <c r="G871" s="6"/>
      <c r="H871" s="6"/>
      <c r="I871" s="6"/>
    </row>
    <row r="872" spans="7:9">
      <c r="G872" s="6"/>
      <c r="H872" s="6"/>
      <c r="I872" s="6"/>
    </row>
    <row r="873" spans="7:9">
      <c r="G873" s="6"/>
      <c r="H873" s="6"/>
      <c r="I873" s="6"/>
    </row>
    <row r="874" spans="7:9">
      <c r="G874" s="6"/>
      <c r="H874" s="6"/>
      <c r="I874" s="6"/>
    </row>
    <row r="875" spans="7:9">
      <c r="G875" s="6"/>
      <c r="H875" s="6"/>
      <c r="I875" s="6"/>
    </row>
    <row r="876" spans="7:9">
      <c r="G876" s="6"/>
      <c r="H876" s="6"/>
      <c r="I876" s="6"/>
    </row>
    <row r="877" spans="7:9">
      <c r="G877" s="6"/>
      <c r="H877" s="6"/>
      <c r="I877" s="6"/>
    </row>
    <row r="878" spans="7:9">
      <c r="G878" s="6"/>
      <c r="H878" s="6"/>
      <c r="I878" s="6"/>
    </row>
    <row r="879" spans="7:9">
      <c r="G879" s="6"/>
      <c r="H879" s="6"/>
      <c r="I879" s="6"/>
    </row>
    <row r="880" spans="7:9">
      <c r="G880" s="6"/>
      <c r="H880" s="6"/>
      <c r="I880" s="6"/>
    </row>
    <row r="881" spans="7:9">
      <c r="G881" s="6"/>
      <c r="H881" s="6"/>
      <c r="I881" s="6"/>
    </row>
    <row r="882" spans="7:9">
      <c r="G882" s="6"/>
      <c r="H882" s="6"/>
      <c r="I882" s="6"/>
    </row>
    <row r="883" spans="7:9">
      <c r="G883" s="6"/>
      <c r="H883" s="6"/>
      <c r="I883" s="6"/>
    </row>
    <row r="884" spans="7:9">
      <c r="G884" s="6"/>
      <c r="H884" s="6"/>
      <c r="I884" s="6"/>
    </row>
    <row r="885" spans="7:9">
      <c r="G885" s="6"/>
      <c r="H885" s="6"/>
      <c r="I885" s="6"/>
    </row>
    <row r="886" spans="7:9">
      <c r="G886" s="6"/>
      <c r="H886" s="6"/>
      <c r="I886" s="6"/>
    </row>
    <row r="887" spans="7:9">
      <c r="G887" s="6"/>
      <c r="H887" s="6"/>
      <c r="I887" s="6"/>
    </row>
    <row r="888" spans="7:9">
      <c r="G888" s="6"/>
      <c r="H888" s="6"/>
      <c r="I888" s="6"/>
    </row>
    <row r="889" spans="7:9">
      <c r="G889" s="6"/>
      <c r="H889" s="6"/>
      <c r="I889" s="6"/>
    </row>
    <row r="890" spans="7:9">
      <c r="G890" s="6"/>
      <c r="H890" s="6"/>
      <c r="I890" s="6"/>
    </row>
    <row r="891" spans="7:9">
      <c r="G891" s="6"/>
      <c r="H891" s="6"/>
      <c r="I891" s="6"/>
    </row>
    <row r="892" spans="7:9">
      <c r="G892" s="6"/>
      <c r="H892" s="6"/>
      <c r="I892" s="6"/>
    </row>
    <row r="893" spans="7:9">
      <c r="G893" s="6"/>
      <c r="H893" s="6"/>
      <c r="I893" s="6"/>
    </row>
    <row r="894" spans="7:9">
      <c r="G894" s="6"/>
      <c r="H894" s="6"/>
      <c r="I894" s="6"/>
    </row>
    <row r="895" spans="7:9">
      <c r="G895" s="6"/>
      <c r="H895" s="6"/>
      <c r="I895" s="6"/>
    </row>
    <row r="896" spans="7:9">
      <c r="G896" s="6"/>
      <c r="H896" s="6"/>
      <c r="I896" s="6"/>
    </row>
    <row r="897" spans="7:9">
      <c r="G897" s="6"/>
      <c r="H897" s="6"/>
      <c r="I897" s="6"/>
    </row>
    <row r="898" spans="7:9">
      <c r="G898" s="6"/>
      <c r="H898" s="6"/>
      <c r="I898" s="6"/>
    </row>
    <row r="899" spans="7:9">
      <c r="G899" s="6"/>
      <c r="H899" s="6"/>
      <c r="I899" s="6"/>
    </row>
    <row r="900" spans="7:9">
      <c r="G900" s="6"/>
      <c r="H900" s="6"/>
      <c r="I900" s="6"/>
    </row>
    <row r="901" spans="7:9">
      <c r="G901" s="6"/>
      <c r="H901" s="6"/>
      <c r="I901" s="6"/>
    </row>
    <row r="902" spans="7:9">
      <c r="G902" s="6"/>
      <c r="H902" s="6"/>
      <c r="I902" s="6"/>
    </row>
    <row r="903" spans="7:9">
      <c r="G903" s="6"/>
      <c r="H903" s="6"/>
      <c r="I903" s="6"/>
    </row>
    <row r="904" spans="7:9">
      <c r="G904" s="6"/>
      <c r="H904" s="6"/>
      <c r="I904" s="6"/>
    </row>
    <row r="905" spans="7:9">
      <c r="G905" s="6"/>
      <c r="H905" s="6"/>
      <c r="I905" s="6"/>
    </row>
    <row r="906" spans="7:9">
      <c r="G906" s="6"/>
      <c r="H906" s="6"/>
      <c r="I906" s="6"/>
    </row>
    <row r="907" spans="7:9">
      <c r="G907" s="6"/>
      <c r="H907" s="6"/>
      <c r="I907" s="6"/>
    </row>
    <row r="908" spans="7:9">
      <c r="G908" s="6"/>
      <c r="H908" s="6"/>
      <c r="I908" s="6"/>
    </row>
    <row r="909" spans="7:9">
      <c r="G909" s="6"/>
      <c r="H909" s="6"/>
      <c r="I909" s="6"/>
    </row>
    <row r="910" spans="7:9">
      <c r="G910" s="6"/>
      <c r="H910" s="6"/>
      <c r="I910" s="6"/>
    </row>
    <row r="911" spans="7:9">
      <c r="G911" s="6"/>
      <c r="H911" s="6"/>
      <c r="I911" s="6"/>
    </row>
    <row r="912" spans="7:9">
      <c r="G912" s="6"/>
      <c r="H912" s="6"/>
      <c r="I912" s="6"/>
    </row>
    <row r="913" spans="7:9">
      <c r="G913" s="6"/>
      <c r="H913" s="6"/>
      <c r="I913" s="6"/>
    </row>
    <row r="914" spans="7:9">
      <c r="G914" s="6"/>
      <c r="H914" s="6"/>
      <c r="I914" s="6"/>
    </row>
    <row r="915" spans="7:9">
      <c r="G915" s="6"/>
      <c r="H915" s="6"/>
      <c r="I915" s="6"/>
    </row>
    <row r="916" spans="7:9">
      <c r="G916" s="6"/>
      <c r="H916" s="6"/>
      <c r="I916" s="6"/>
    </row>
    <row r="917" spans="7:9">
      <c r="G917" s="6"/>
      <c r="H917" s="6"/>
      <c r="I917" s="6"/>
    </row>
    <row r="918" spans="7:9">
      <c r="G918" s="6"/>
      <c r="H918" s="6"/>
      <c r="I918" s="6"/>
    </row>
    <row r="919" spans="7:9">
      <c r="G919" s="6"/>
      <c r="H919" s="6"/>
      <c r="I919" s="6"/>
    </row>
    <row r="920" spans="7:9">
      <c r="G920" s="6"/>
      <c r="H920" s="6"/>
      <c r="I920" s="6"/>
    </row>
    <row r="921" spans="7:9">
      <c r="G921" s="6"/>
      <c r="H921" s="6"/>
      <c r="I921" s="6"/>
    </row>
    <row r="922" spans="7:9">
      <c r="G922" s="6"/>
      <c r="H922" s="6"/>
      <c r="I922" s="6"/>
    </row>
    <row r="923" spans="7:9">
      <c r="G923" s="6"/>
      <c r="H923" s="6"/>
      <c r="I923" s="6"/>
    </row>
    <row r="924" spans="7:9">
      <c r="G924" s="6"/>
      <c r="H924" s="6"/>
      <c r="I924" s="6"/>
    </row>
    <row r="925" spans="7:9">
      <c r="G925" s="6"/>
      <c r="H925" s="6"/>
      <c r="I925" s="6"/>
    </row>
    <row r="926" spans="7:9">
      <c r="G926" s="6"/>
      <c r="H926" s="6"/>
      <c r="I926" s="6"/>
    </row>
    <row r="927" spans="7:9">
      <c r="G927" s="6"/>
      <c r="H927" s="6"/>
      <c r="I927" s="6"/>
    </row>
    <row r="928" spans="7:9">
      <c r="G928" s="6"/>
      <c r="H928" s="6"/>
      <c r="I928" s="6"/>
    </row>
    <row r="929" spans="7:9">
      <c r="G929" s="6"/>
      <c r="H929" s="6"/>
      <c r="I929" s="6"/>
    </row>
    <row r="930" spans="7:9">
      <c r="G930" s="6"/>
      <c r="H930" s="6"/>
      <c r="I930" s="6"/>
    </row>
    <row r="931" spans="7:9">
      <c r="G931" s="6"/>
      <c r="H931" s="6"/>
      <c r="I931" s="6"/>
    </row>
    <row r="932" spans="7:9">
      <c r="G932" s="6"/>
      <c r="H932" s="6"/>
      <c r="I932" s="6"/>
    </row>
    <row r="933" spans="7:9">
      <c r="G933" s="6"/>
      <c r="H933" s="6"/>
      <c r="I933" s="6"/>
    </row>
    <row r="934" spans="7:9">
      <c r="G934" s="6"/>
      <c r="H934" s="6"/>
      <c r="I934" s="6"/>
    </row>
    <row r="935" spans="7:9">
      <c r="G935" s="6"/>
      <c r="H935" s="6"/>
      <c r="I935" s="6"/>
    </row>
    <row r="936" spans="7:9">
      <c r="G936" s="6"/>
      <c r="H936" s="6"/>
      <c r="I936" s="6"/>
    </row>
    <row r="937" spans="7:9">
      <c r="G937" s="6"/>
      <c r="H937" s="6"/>
      <c r="I937" s="6"/>
    </row>
    <row r="938" spans="7:9">
      <c r="G938" s="6"/>
      <c r="H938" s="6"/>
      <c r="I938" s="6"/>
    </row>
    <row r="939" spans="7:9">
      <c r="G939" s="6"/>
      <c r="H939" s="6"/>
      <c r="I939" s="6"/>
    </row>
    <row r="940" spans="7:9">
      <c r="G940" s="6"/>
      <c r="H940" s="6"/>
      <c r="I940" s="6"/>
    </row>
    <row r="941" spans="7:9">
      <c r="G941" s="6"/>
      <c r="H941" s="6"/>
      <c r="I941" s="6"/>
    </row>
    <row r="942" spans="7:9">
      <c r="G942" s="6"/>
      <c r="H942" s="6"/>
      <c r="I942" s="6"/>
    </row>
    <row r="943" spans="7:9">
      <c r="G943" s="6"/>
      <c r="H943" s="6"/>
      <c r="I943" s="6"/>
    </row>
    <row r="944" spans="7:9">
      <c r="G944" s="6"/>
      <c r="H944" s="6"/>
      <c r="I944" s="6"/>
    </row>
    <row r="945" spans="7:9">
      <c r="G945" s="6"/>
      <c r="H945" s="6"/>
      <c r="I945" s="6"/>
    </row>
    <row r="946" spans="7:9">
      <c r="G946" s="6"/>
      <c r="H946" s="6"/>
      <c r="I946" s="6"/>
    </row>
    <row r="947" spans="7:9">
      <c r="G947" s="6"/>
      <c r="H947" s="6"/>
      <c r="I947" s="6"/>
    </row>
    <row r="948" spans="7:9">
      <c r="G948" s="6"/>
      <c r="H948" s="6"/>
      <c r="I948" s="6"/>
    </row>
    <row r="949" spans="7:9">
      <c r="G949" s="6"/>
      <c r="H949" s="6"/>
      <c r="I949" s="6"/>
    </row>
    <row r="950" spans="7:9">
      <c r="G950" s="6"/>
      <c r="H950" s="6"/>
      <c r="I950" s="6"/>
    </row>
    <row r="951" spans="7:9">
      <c r="G951" s="6"/>
      <c r="H951" s="6"/>
      <c r="I951" s="6"/>
    </row>
    <row r="952" spans="7:9">
      <c r="G952" s="6"/>
      <c r="H952" s="6"/>
      <c r="I952" s="6"/>
    </row>
    <row r="953" spans="7:9">
      <c r="G953" s="6"/>
      <c r="H953" s="6"/>
      <c r="I953" s="6"/>
    </row>
    <row r="954" spans="7:9">
      <c r="G954" s="6"/>
      <c r="H954" s="6"/>
      <c r="I954" s="6"/>
    </row>
    <row r="955" spans="7:9">
      <c r="G955" s="6"/>
      <c r="H955" s="6"/>
      <c r="I955" s="6"/>
    </row>
    <row r="956" spans="7:9">
      <c r="G956" s="6"/>
      <c r="H956" s="6"/>
      <c r="I956" s="6"/>
    </row>
    <row r="957" spans="7:9">
      <c r="G957" s="6"/>
      <c r="H957" s="6"/>
      <c r="I957" s="6"/>
    </row>
    <row r="958" spans="7:9">
      <c r="G958" s="6"/>
      <c r="H958" s="6"/>
      <c r="I958" s="6"/>
    </row>
    <row r="959" spans="7:9">
      <c r="G959" s="6"/>
      <c r="H959" s="6"/>
      <c r="I959" s="6"/>
    </row>
    <row r="960" spans="7:9">
      <c r="G960" s="6"/>
      <c r="H960" s="6"/>
      <c r="I960" s="6"/>
    </row>
    <row r="961" spans="7:9">
      <c r="G961" s="6"/>
      <c r="H961" s="6"/>
      <c r="I961" s="6"/>
    </row>
    <row r="962" spans="7:9">
      <c r="G962" s="6"/>
      <c r="H962" s="6"/>
      <c r="I962" s="6"/>
    </row>
    <row r="963" spans="7:9">
      <c r="G963" s="6"/>
      <c r="H963" s="6"/>
      <c r="I963" s="6"/>
    </row>
    <row r="964" spans="7:9">
      <c r="G964" s="6"/>
      <c r="H964" s="6"/>
      <c r="I964" s="6"/>
    </row>
    <row r="965" spans="7:9">
      <c r="G965" s="6"/>
      <c r="H965" s="6"/>
      <c r="I965" s="6"/>
    </row>
    <row r="966" spans="7:9">
      <c r="G966" s="6"/>
      <c r="H966" s="6"/>
      <c r="I966" s="6"/>
    </row>
    <row r="967" spans="7:9">
      <c r="G967" s="6"/>
      <c r="H967" s="6"/>
      <c r="I967" s="6"/>
    </row>
    <row r="968" spans="7:9">
      <c r="G968" s="6"/>
      <c r="H968" s="6"/>
      <c r="I968" s="6"/>
    </row>
    <row r="969" spans="7:9">
      <c r="G969" s="6"/>
      <c r="H969" s="6"/>
      <c r="I969" s="6"/>
    </row>
    <row r="970" spans="7:9">
      <c r="G970" s="6"/>
      <c r="H970" s="6"/>
      <c r="I970" s="6"/>
    </row>
    <row r="971" spans="7:9">
      <c r="G971" s="6"/>
      <c r="H971" s="6"/>
      <c r="I971" s="6"/>
    </row>
    <row r="972" spans="7:9">
      <c r="G972" s="6"/>
      <c r="H972" s="6"/>
      <c r="I972" s="6"/>
    </row>
    <row r="973" spans="7:9">
      <c r="G973" s="6"/>
      <c r="H973" s="6"/>
      <c r="I973" s="6"/>
    </row>
    <row r="974" spans="7:9">
      <c r="G974" s="6"/>
      <c r="H974" s="6"/>
      <c r="I974" s="6"/>
    </row>
    <row r="975" spans="7:9">
      <c r="G975" s="6"/>
      <c r="H975" s="6"/>
      <c r="I975" s="6"/>
    </row>
    <row r="976" spans="7:9">
      <c r="G976" s="6"/>
      <c r="H976" s="6"/>
      <c r="I976" s="6"/>
    </row>
    <row r="977" spans="7:9">
      <c r="G977" s="6"/>
      <c r="H977" s="6"/>
      <c r="I977" s="6"/>
    </row>
    <row r="978" spans="7:9">
      <c r="G978" s="6"/>
      <c r="H978" s="6"/>
      <c r="I978" s="6"/>
    </row>
    <row r="979" spans="7:9">
      <c r="G979" s="6"/>
      <c r="H979" s="6"/>
      <c r="I979" s="6"/>
    </row>
    <row r="980" spans="7:9">
      <c r="G980" s="6"/>
      <c r="H980" s="6"/>
      <c r="I980" s="6"/>
    </row>
    <row r="981" spans="7:9">
      <c r="G981" s="6"/>
      <c r="H981" s="6"/>
      <c r="I981" s="6"/>
    </row>
    <row r="982" spans="7:9">
      <c r="G982" s="6"/>
      <c r="H982" s="6"/>
      <c r="I982" s="6"/>
    </row>
    <row r="983" spans="7:9">
      <c r="G983" s="6"/>
      <c r="H983" s="6"/>
      <c r="I983" s="6"/>
    </row>
    <row r="984" spans="7:9">
      <c r="G984" s="6"/>
      <c r="H984" s="6"/>
      <c r="I984" s="6"/>
    </row>
    <row r="985" spans="7:9">
      <c r="G985" s="6"/>
      <c r="H985" s="6"/>
      <c r="I985" s="6"/>
    </row>
    <row r="986" spans="7:9">
      <c r="G986" s="6"/>
      <c r="H986" s="6"/>
      <c r="I986" s="6"/>
    </row>
    <row r="987" spans="7:9">
      <c r="G987" s="6"/>
      <c r="H987" s="6"/>
      <c r="I987" s="6"/>
    </row>
    <row r="988" spans="7:9">
      <c r="G988" s="6"/>
      <c r="H988" s="6"/>
      <c r="I988" s="6"/>
    </row>
    <row r="989" spans="7:9">
      <c r="G989" s="6"/>
      <c r="H989" s="6"/>
      <c r="I989" s="6"/>
    </row>
    <row r="990" spans="7:9">
      <c r="G990" s="6"/>
      <c r="H990" s="6"/>
      <c r="I990" s="6"/>
    </row>
    <row r="991" spans="7:9">
      <c r="G991" s="6"/>
      <c r="H991" s="6"/>
      <c r="I991" s="6"/>
    </row>
    <row r="992" spans="7:9">
      <c r="G992" s="6"/>
      <c r="H992" s="6"/>
      <c r="I992" s="6"/>
    </row>
    <row r="993" spans="7:9">
      <c r="G993" s="6"/>
      <c r="H993" s="6"/>
      <c r="I993" s="6"/>
    </row>
    <row r="994" spans="7:9">
      <c r="G994" s="6"/>
      <c r="H994" s="6"/>
      <c r="I994" s="6"/>
    </row>
    <row r="995" spans="7:9">
      <c r="G995" s="6"/>
      <c r="H995" s="6"/>
      <c r="I995" s="6"/>
    </row>
    <row r="996" spans="7:9">
      <c r="G996" s="6"/>
      <c r="H996" s="6"/>
      <c r="I996" s="6"/>
    </row>
    <row r="997" spans="7:9">
      <c r="G997" s="6"/>
      <c r="H997" s="6"/>
      <c r="I997" s="6"/>
    </row>
  </sheetData>
  <pageMargins left="0.7" right="0.7" top="0.75" bottom="0.75" header="0.3" footer="0.3"/>
  <extLst>
    <ext xmlns:x14="http://schemas.microsoft.com/office/spreadsheetml/2009/9/main" uri="{CCE6A557-97BC-4b89-ADB6-D9C93CAAB3DF}">
      <x14:dataValidations xmlns:xm="http://schemas.microsoft.com/office/excel/2006/main" count="7">
        <x14:dataValidation type="list" allowBlank="1" showInputMessage="1" showErrorMessage="1" xr:uid="{E9284221-2968-4086-9A87-CD8D4053567F}">
          <x14:formula1>
            <xm:f>'Input Sheet'!$B$2:$B$194</xm:f>
          </x14:formula1>
          <xm:sqref>C2</xm:sqref>
        </x14:dataValidation>
        <x14:dataValidation type="list" allowBlank="1" showInputMessage="1" showErrorMessage="1" xr:uid="{A360D5AD-2E8F-41F5-899E-74FB8CB07CF0}">
          <x14:formula1>
            <xm:f>'Input Sheet'!$E$2:$E$3</xm:f>
          </x14:formula1>
          <xm:sqref>J2:J19</xm:sqref>
        </x14:dataValidation>
        <x14:dataValidation type="list" allowBlank="1" showInputMessage="1" showErrorMessage="1" xr:uid="{3856881F-85FB-4FD0-86BA-300236ED7FFF}">
          <x14:formula1>
            <xm:f>'Input Sheet'!$F$2:$F$5</xm:f>
          </x14:formula1>
          <xm:sqref>K2</xm:sqref>
        </x14:dataValidation>
        <x14:dataValidation type="list" allowBlank="1" showInputMessage="1" showErrorMessage="1" xr:uid="{3AF304BD-1963-41F7-9380-4748B8EA49AC}">
          <x14:formula1>
            <xm:f>'Input Sheet'!$C$2:$C$9</xm:f>
          </x14:formula1>
          <xm:sqref>D2:D34</xm:sqref>
        </x14:dataValidation>
        <x14:dataValidation type="list" allowBlank="1" showInputMessage="1" showErrorMessage="1" xr:uid="{F27DFE57-9441-4AC3-B51B-380150E5703C}">
          <x14:formula1>
            <xm:f>'Input Sheet'!$D$2:$D$4</xm:f>
          </x14:formula1>
          <xm:sqref>F2:F29 F34</xm:sqref>
        </x14:dataValidation>
        <x14:dataValidation type="list" allowBlank="1" showInputMessage="1" showErrorMessage="1" xr:uid="{9C9EFD4E-5484-43C0-BC45-7382A08B71E6}">
          <x14:formula1>
            <xm:f>'Input Sheet'!$A$2:$A$7</xm:f>
          </x14:formula1>
          <xm:sqref>B2:B996</xm:sqref>
        </x14:dataValidation>
        <x14:dataValidation type="list" allowBlank="1" showInputMessage="1" showErrorMessage="1" xr:uid="{C493D269-137C-41E8-B2D6-7D2B520EFD53}">
          <x14:formula1>
            <xm:f>'Focal Points'!$B$2:$B$10</xm:f>
          </x14:formula1>
          <xm:sqref>G2:I997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14E42-12B2-4022-9269-FCEEAC82F2D7}">
  <dimension ref="A1:D10"/>
  <sheetViews>
    <sheetView workbookViewId="0">
      <selection activeCell="D4" sqref="D4"/>
    </sheetView>
  </sheetViews>
  <sheetFormatPr defaultRowHeight="14.45"/>
  <cols>
    <col min="1" max="1" width="15.42578125" customWidth="1"/>
    <col min="2" max="2" width="19.42578125" customWidth="1"/>
    <col min="3" max="3" width="25.5703125" customWidth="1"/>
  </cols>
  <sheetData>
    <row r="1" spans="1:4">
      <c r="A1" t="str">
        <f>'Input Sheet'!A1</f>
        <v>Region</v>
      </c>
      <c r="B1" t="s">
        <v>84</v>
      </c>
      <c r="C1" t="s">
        <v>85</v>
      </c>
      <c r="D1" t="s">
        <v>86</v>
      </c>
    </row>
    <row r="2" spans="1:4">
      <c r="A2" t="str">
        <f>'Input Sheet'!A2</f>
        <v>Africa</v>
      </c>
      <c r="B2" t="s">
        <v>53</v>
      </c>
      <c r="C2" s="3" t="s">
        <v>87</v>
      </c>
      <c r="D2" t="s">
        <v>88</v>
      </c>
    </row>
    <row r="3" spans="1:4">
      <c r="A3" t="s">
        <v>11</v>
      </c>
      <c r="B3" t="s">
        <v>77</v>
      </c>
      <c r="C3" s="3" t="s">
        <v>89</v>
      </c>
    </row>
    <row r="4" spans="1:4">
      <c r="A4" t="s">
        <v>11</v>
      </c>
      <c r="B4" t="s">
        <v>73</v>
      </c>
      <c r="C4" s="3" t="s">
        <v>90</v>
      </c>
    </row>
    <row r="5" spans="1:4">
      <c r="A5" t="str">
        <f>'Input Sheet'!A3</f>
        <v>Arab States</v>
      </c>
      <c r="B5" t="s">
        <v>91</v>
      </c>
      <c r="C5" s="3" t="s">
        <v>92</v>
      </c>
    </row>
    <row r="6" spans="1:4">
      <c r="A6" t="str">
        <f>'Input Sheet'!A4</f>
        <v>Asia-Pacific</v>
      </c>
      <c r="B6" t="s">
        <v>22</v>
      </c>
      <c r="C6" s="3" t="s">
        <v>93</v>
      </c>
    </row>
    <row r="7" spans="1:4">
      <c r="A7" t="str">
        <f>'Input Sheet'!A5</f>
        <v>CIS</v>
      </c>
      <c r="B7" t="s">
        <v>61</v>
      </c>
      <c r="C7" s="3" t="s">
        <v>94</v>
      </c>
      <c r="D7" t="s">
        <v>95</v>
      </c>
    </row>
    <row r="8" spans="1:4">
      <c r="A8" t="str">
        <f>'Input Sheet'!A6</f>
        <v>Europe</v>
      </c>
      <c r="B8" t="s">
        <v>69</v>
      </c>
      <c r="C8" s="3" t="s">
        <v>96</v>
      </c>
      <c r="D8" t="s">
        <v>97</v>
      </c>
    </row>
    <row r="9" spans="1:4">
      <c r="A9" t="str">
        <f>'Input Sheet'!A7</f>
        <v>Americas</v>
      </c>
      <c r="B9" t="s">
        <v>98</v>
      </c>
      <c r="C9" s="3" t="s">
        <v>99</v>
      </c>
      <c r="D9" t="s">
        <v>100</v>
      </c>
    </row>
    <row r="10" spans="1:4">
      <c r="A10" t="s">
        <v>101</v>
      </c>
      <c r="B10" t="s">
        <v>102</v>
      </c>
      <c r="C10" s="3" t="s">
        <v>103</v>
      </c>
      <c r="D10" t="s">
        <v>97</v>
      </c>
    </row>
  </sheetData>
  <hyperlinks>
    <hyperlink ref="C10" r:id="rId1" xr:uid="{515A0CE3-6C1D-4118-B4F7-4620BE6C6186}"/>
    <hyperlink ref="C6" r:id="rId2" xr:uid="{2C70267B-2ABE-4DE3-9F84-15F213288A0F}"/>
    <hyperlink ref="C7" r:id="rId3" xr:uid="{D6EFE1F0-9CFD-4FD3-BCA6-270C3AEE5C07}"/>
    <hyperlink ref="C5" r:id="rId4" xr:uid="{DE19EED9-77EF-4207-93B2-BCBE28047501}"/>
    <hyperlink ref="C8" r:id="rId5" xr:uid="{75E73072-8E1F-4D4A-A080-CB6F366B365F}"/>
    <hyperlink ref="C2" r:id="rId6" xr:uid="{D19818F0-5E2A-451B-BF4F-54BD75F3D89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022A9-E78A-4630-983B-9C49EEA76207}">
  <dimension ref="A1:H24"/>
  <sheetViews>
    <sheetView workbookViewId="0">
      <selection activeCell="C11" sqref="C11"/>
    </sheetView>
  </sheetViews>
  <sheetFormatPr defaultRowHeight="14.45"/>
  <cols>
    <col min="1" max="1" width="23.140625" customWidth="1"/>
    <col min="3" max="3" width="39.5703125" style="2" customWidth="1"/>
    <col min="4" max="4" width="14.7109375" customWidth="1"/>
    <col min="6" max="6" width="20.140625" bestFit="1" customWidth="1"/>
  </cols>
  <sheetData>
    <row r="1" spans="1:8">
      <c r="A1" s="1" t="s">
        <v>84</v>
      </c>
      <c r="B1" s="1" t="s">
        <v>104</v>
      </c>
      <c r="C1" s="9" t="s">
        <v>105</v>
      </c>
      <c r="D1" s="1" t="s">
        <v>106</v>
      </c>
      <c r="E1" s="1" t="s">
        <v>107</v>
      </c>
      <c r="F1" s="1" t="s">
        <v>108</v>
      </c>
      <c r="G1" s="1" t="s">
        <v>109</v>
      </c>
      <c r="H1" s="1"/>
    </row>
    <row r="2" spans="1:8" ht="43.5">
      <c r="A2" t="s">
        <v>110</v>
      </c>
      <c r="C2" s="2" t="s">
        <v>111</v>
      </c>
      <c r="F2" t="s">
        <v>112</v>
      </c>
      <c r="G2" s="3" t="s">
        <v>113</v>
      </c>
    </row>
    <row r="3" spans="1:8">
      <c r="A3" t="s">
        <v>114</v>
      </c>
      <c r="F3" t="s">
        <v>115</v>
      </c>
      <c r="G3" s="3" t="s">
        <v>116</v>
      </c>
    </row>
    <row r="4" spans="1:8" ht="43.5">
      <c r="A4" t="s">
        <v>117</v>
      </c>
      <c r="C4" s="2" t="s">
        <v>118</v>
      </c>
      <c r="F4" t="s">
        <v>119</v>
      </c>
      <c r="G4" s="3" t="s">
        <v>120</v>
      </c>
    </row>
    <row r="5" spans="1:8" ht="43.5">
      <c r="A5" t="s">
        <v>121</v>
      </c>
      <c r="C5" s="2" t="s">
        <v>122</v>
      </c>
      <c r="F5" t="s">
        <v>123</v>
      </c>
      <c r="G5" s="3" t="s">
        <v>124</v>
      </c>
    </row>
    <row r="6" spans="1:8">
      <c r="A6" t="s">
        <v>125</v>
      </c>
      <c r="F6" t="s">
        <v>126</v>
      </c>
      <c r="G6" s="3" t="s">
        <v>127</v>
      </c>
    </row>
    <row r="7" spans="1:8">
      <c r="A7" t="s">
        <v>128</v>
      </c>
      <c r="C7" s="2" t="s">
        <v>129</v>
      </c>
      <c r="F7" t="s">
        <v>130</v>
      </c>
      <c r="G7" s="3" t="s">
        <v>131</v>
      </c>
    </row>
    <row r="8" spans="1:8">
      <c r="A8" t="s">
        <v>132</v>
      </c>
      <c r="F8" t="s">
        <v>133</v>
      </c>
      <c r="G8" s="3" t="s">
        <v>134</v>
      </c>
    </row>
    <row r="9" spans="1:8">
      <c r="A9" t="s">
        <v>135</v>
      </c>
    </row>
    <row r="10" spans="1:8">
      <c r="A10" t="s">
        <v>136</v>
      </c>
      <c r="F10" t="s">
        <v>137</v>
      </c>
      <c r="G10" s="3" t="s">
        <v>138</v>
      </c>
    </row>
    <row r="11" spans="1:8">
      <c r="A11" t="s">
        <v>139</v>
      </c>
    </row>
    <row r="12" spans="1:8">
      <c r="A12" t="s">
        <v>140</v>
      </c>
      <c r="F12" t="s">
        <v>141</v>
      </c>
      <c r="G12" s="3" t="s">
        <v>142</v>
      </c>
    </row>
    <row r="13" spans="1:8">
      <c r="A13" t="s">
        <v>143</v>
      </c>
      <c r="C13" s="2" t="s">
        <v>144</v>
      </c>
      <c r="F13" t="s">
        <v>145</v>
      </c>
      <c r="G13" s="3" t="s">
        <v>146</v>
      </c>
    </row>
    <row r="14" spans="1:8">
      <c r="A14" t="s">
        <v>147</v>
      </c>
      <c r="F14" t="s">
        <v>148</v>
      </c>
      <c r="G14" s="3" t="s">
        <v>149</v>
      </c>
    </row>
    <row r="15" spans="1:8">
      <c r="A15" t="s">
        <v>150</v>
      </c>
      <c r="F15" t="s">
        <v>151</v>
      </c>
      <c r="G15" s="3" t="s">
        <v>152</v>
      </c>
    </row>
    <row r="16" spans="1:8">
      <c r="A16" t="s">
        <v>153</v>
      </c>
      <c r="F16" t="s">
        <v>154</v>
      </c>
      <c r="G16" s="3" t="s">
        <v>155</v>
      </c>
    </row>
    <row r="17" spans="1:7">
      <c r="A17" t="s">
        <v>156</v>
      </c>
      <c r="F17" t="s">
        <v>157</v>
      </c>
      <c r="G17" s="3" t="s">
        <v>158</v>
      </c>
    </row>
    <row r="18" spans="1:7">
      <c r="A18" t="s">
        <v>159</v>
      </c>
      <c r="C18" s="2" t="s">
        <v>160</v>
      </c>
      <c r="F18" t="s">
        <v>161</v>
      </c>
      <c r="G18" s="3" t="s">
        <v>162</v>
      </c>
    </row>
    <row r="19" spans="1:7">
      <c r="A19" t="s">
        <v>163</v>
      </c>
    </row>
    <row r="20" spans="1:7">
      <c r="A20" t="s">
        <v>164</v>
      </c>
    </row>
    <row r="21" spans="1:7">
      <c r="A21" t="s">
        <v>165</v>
      </c>
      <c r="F21" t="s">
        <v>166</v>
      </c>
      <c r="G21" s="3" t="s">
        <v>167</v>
      </c>
    </row>
    <row r="22" spans="1:7">
      <c r="A22" t="s">
        <v>168</v>
      </c>
      <c r="C22" s="2" t="s">
        <v>169</v>
      </c>
    </row>
    <row r="23" spans="1:7">
      <c r="A23" s="2" t="s">
        <v>170</v>
      </c>
      <c r="F23" t="s">
        <v>171</v>
      </c>
      <c r="G23" s="3" t="s">
        <v>172</v>
      </c>
    </row>
    <row r="24" spans="1:7" ht="29.1">
      <c r="A24" s="2" t="s">
        <v>173</v>
      </c>
      <c r="F24" t="s">
        <v>174</v>
      </c>
      <c r="G24" s="3" t="s">
        <v>175</v>
      </c>
    </row>
  </sheetData>
  <hyperlinks>
    <hyperlink ref="G2" r:id="rId1" xr:uid="{F7E6C08C-3CCA-44C5-BC58-BE5E58AB6F5A}"/>
    <hyperlink ref="G3" r:id="rId2" xr:uid="{89A0DDDD-8512-4AF4-9931-1B2DC7BAB2BA}"/>
    <hyperlink ref="G4" r:id="rId3" xr:uid="{7273FA56-3FA7-40F4-9C90-FC6A57717E59}"/>
    <hyperlink ref="G5" r:id="rId4" xr:uid="{CBB61FD4-3ABF-4DD9-8E1A-F40BC7BD3516}"/>
    <hyperlink ref="G6" r:id="rId5" xr:uid="{195A66B4-5CE6-42F1-A732-9FD48A423576}"/>
    <hyperlink ref="G7" r:id="rId6" xr:uid="{09D1A0BA-E2BD-4DE8-B2C0-ECC1B63F1439}"/>
    <hyperlink ref="G8" r:id="rId7" xr:uid="{74DFEACC-13D2-4777-AE92-CBEDDD84978D}"/>
    <hyperlink ref="G10" r:id="rId8" xr:uid="{434BBFC9-2F01-48ED-A5A1-0FC417C73E59}"/>
    <hyperlink ref="G12" r:id="rId9" xr:uid="{862A020C-5E06-4FA5-9417-73561D0F9112}"/>
    <hyperlink ref="G13" r:id="rId10" xr:uid="{A9E4ACAD-A592-49A8-A75A-342B5EA2F04F}"/>
    <hyperlink ref="G14" r:id="rId11" xr:uid="{825BD7D3-A5BE-42BA-A190-6A28D88EFA81}"/>
    <hyperlink ref="G15" r:id="rId12" xr:uid="{320F5518-5066-4C9E-8C71-0402E9D3190F}"/>
    <hyperlink ref="G16" r:id="rId13" xr:uid="{16BEE7D5-CB4C-48D0-A111-0592C822FB19}"/>
    <hyperlink ref="G17" r:id="rId14" xr:uid="{2122AEFB-D919-46FA-BB1D-5D254E4143E6}"/>
    <hyperlink ref="G18" r:id="rId15" xr:uid="{477EC803-7E19-45A1-B2F1-7BC2E99B4706}"/>
    <hyperlink ref="G21" r:id="rId16" xr:uid="{DF72DE48-CC44-48F0-B800-4412BAA48BD0}"/>
    <hyperlink ref="G24" r:id="rId17" xr:uid="{45E024D9-B5DD-46C5-9C5E-F0882232E57D}"/>
    <hyperlink ref="G23" r:id="rId18" xr:uid="{23ABDA90-BA78-44F4-925D-28B0D7AF4C1C}"/>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FEADB-4FA5-4229-A0F9-17A9EB280812}">
  <dimension ref="A1:J24"/>
  <sheetViews>
    <sheetView topLeftCell="A21" workbookViewId="0">
      <selection activeCell="B42" sqref="B42"/>
    </sheetView>
  </sheetViews>
  <sheetFormatPr defaultRowHeight="14.45"/>
  <cols>
    <col min="1" max="5" width="33.28515625" style="2" customWidth="1"/>
  </cols>
  <sheetData>
    <row r="1" spans="1:10">
      <c r="A1" s="9" t="s">
        <v>176</v>
      </c>
      <c r="B1" s="9" t="s">
        <v>177</v>
      </c>
      <c r="C1" s="9" t="s">
        <v>178</v>
      </c>
      <c r="D1" s="9" t="s">
        <v>3</v>
      </c>
      <c r="E1" s="9" t="s">
        <v>179</v>
      </c>
    </row>
    <row r="2" spans="1:10" ht="188.45">
      <c r="A2" s="2" t="s">
        <v>180</v>
      </c>
      <c r="B2" s="2" t="s">
        <v>181</v>
      </c>
      <c r="C2" s="10" t="s">
        <v>182</v>
      </c>
      <c r="D2" s="2" t="s">
        <v>183</v>
      </c>
      <c r="E2" s="2" t="s">
        <v>184</v>
      </c>
    </row>
    <row r="3" spans="1:10" ht="79.5" customHeight="1">
      <c r="A3" s="2" t="s">
        <v>185</v>
      </c>
      <c r="B3" s="2" t="s">
        <v>181</v>
      </c>
      <c r="C3" s="10" t="s">
        <v>186</v>
      </c>
      <c r="D3" s="2" t="s">
        <v>187</v>
      </c>
      <c r="E3" s="2" t="s">
        <v>188</v>
      </c>
    </row>
    <row r="4" spans="1:10" ht="43.5">
      <c r="A4" s="2" t="s">
        <v>189</v>
      </c>
      <c r="C4" s="10" t="s">
        <v>190</v>
      </c>
      <c r="D4" s="2" t="s">
        <v>191</v>
      </c>
      <c r="E4" s="2" t="s">
        <v>192</v>
      </c>
      <c r="J4" t="s">
        <v>193</v>
      </c>
    </row>
    <row r="5" spans="1:10" ht="43.5">
      <c r="A5" s="2" t="s">
        <v>194</v>
      </c>
      <c r="B5" s="2" t="s">
        <v>195</v>
      </c>
      <c r="C5" s="10" t="s">
        <v>196</v>
      </c>
      <c r="D5" s="2" t="s">
        <v>197</v>
      </c>
      <c r="E5" s="2" t="s">
        <v>198</v>
      </c>
    </row>
    <row r="6" spans="1:10" ht="87">
      <c r="A6" s="2" t="s">
        <v>199</v>
      </c>
      <c r="B6" s="11" t="s">
        <v>195</v>
      </c>
      <c r="C6" s="10" t="s">
        <v>200</v>
      </c>
      <c r="D6" s="2" t="s">
        <v>201</v>
      </c>
      <c r="E6" s="2" t="s">
        <v>202</v>
      </c>
    </row>
    <row r="7" spans="1:10" ht="29.1">
      <c r="A7" s="2" t="s">
        <v>203</v>
      </c>
      <c r="B7" s="2" t="s">
        <v>195</v>
      </c>
      <c r="C7" s="10" t="s">
        <v>204</v>
      </c>
      <c r="D7" s="2" t="s">
        <v>205</v>
      </c>
      <c r="E7" s="2" t="s">
        <v>206</v>
      </c>
    </row>
    <row r="8" spans="1:10" ht="29.1">
      <c r="A8" s="2" t="s">
        <v>207</v>
      </c>
      <c r="B8" s="2" t="s">
        <v>195</v>
      </c>
      <c r="C8" s="10" t="s">
        <v>208</v>
      </c>
      <c r="D8" s="2" t="s">
        <v>209</v>
      </c>
      <c r="E8" s="2" t="s">
        <v>210</v>
      </c>
    </row>
    <row r="9" spans="1:10" ht="29.1">
      <c r="A9" s="2" t="s">
        <v>211</v>
      </c>
      <c r="B9" s="2" t="s">
        <v>195</v>
      </c>
      <c r="C9" s="10" t="s">
        <v>212</v>
      </c>
      <c r="D9" s="2" t="s">
        <v>213</v>
      </c>
      <c r="E9" s="2" t="s">
        <v>214</v>
      </c>
    </row>
    <row r="10" spans="1:10" ht="29.1">
      <c r="A10" s="2" t="s">
        <v>215</v>
      </c>
      <c r="B10" s="2" t="s">
        <v>195</v>
      </c>
      <c r="C10" s="10" t="s">
        <v>216</v>
      </c>
      <c r="D10" s="2" t="s">
        <v>217</v>
      </c>
      <c r="E10" s="2" t="s">
        <v>218</v>
      </c>
    </row>
    <row r="11" spans="1:10" ht="29.1">
      <c r="A11" s="2" t="s">
        <v>219</v>
      </c>
      <c r="B11" s="2" t="s">
        <v>195</v>
      </c>
      <c r="C11" s="10" t="s">
        <v>220</v>
      </c>
      <c r="D11" s="2" t="s">
        <v>221</v>
      </c>
      <c r="E11" s="2" t="s">
        <v>210</v>
      </c>
    </row>
    <row r="12" spans="1:10" ht="43.5">
      <c r="A12" s="2" t="s">
        <v>222</v>
      </c>
      <c r="B12" s="2" t="s">
        <v>195</v>
      </c>
      <c r="C12" s="10" t="s">
        <v>223</v>
      </c>
      <c r="D12" s="2" t="s">
        <v>224</v>
      </c>
      <c r="E12" s="2" t="s">
        <v>225</v>
      </c>
    </row>
    <row r="13" spans="1:10" ht="29.1">
      <c r="A13" s="2" t="s">
        <v>226</v>
      </c>
      <c r="B13" s="2" t="s">
        <v>195</v>
      </c>
      <c r="C13" s="10" t="s">
        <v>227</v>
      </c>
      <c r="D13" s="2" t="s">
        <v>228</v>
      </c>
      <c r="E13" s="2" t="s">
        <v>229</v>
      </c>
    </row>
    <row r="14" spans="1:10" ht="29.1">
      <c r="A14" s="2" t="s">
        <v>230</v>
      </c>
      <c r="B14" s="2" t="s">
        <v>195</v>
      </c>
      <c r="C14" s="10" t="s">
        <v>231</v>
      </c>
      <c r="D14" s="2" t="s">
        <v>232</v>
      </c>
      <c r="E14" s="2" t="s">
        <v>210</v>
      </c>
    </row>
    <row r="15" spans="1:10" ht="29.1">
      <c r="A15" s="2" t="s">
        <v>233</v>
      </c>
      <c r="B15" s="2" t="s">
        <v>195</v>
      </c>
      <c r="C15" s="10" t="s">
        <v>234</v>
      </c>
      <c r="D15" s="2" t="s">
        <v>235</v>
      </c>
      <c r="E15" s="2" t="s">
        <v>236</v>
      </c>
    </row>
    <row r="16" spans="1:10" ht="87">
      <c r="A16" s="2" t="s">
        <v>237</v>
      </c>
      <c r="B16" s="11" t="s">
        <v>195</v>
      </c>
      <c r="C16" s="10" t="s">
        <v>238</v>
      </c>
      <c r="D16" s="2" t="s">
        <v>239</v>
      </c>
      <c r="E16" s="2" t="s">
        <v>240</v>
      </c>
    </row>
    <row r="17" spans="1:5" ht="43.5">
      <c r="A17" s="2" t="s">
        <v>241</v>
      </c>
      <c r="B17" s="11" t="s">
        <v>195</v>
      </c>
      <c r="C17" s="10" t="s">
        <v>242</v>
      </c>
      <c r="D17" s="2" t="s">
        <v>243</v>
      </c>
      <c r="E17" s="2" t="s">
        <v>244</v>
      </c>
    </row>
    <row r="18" spans="1:5" ht="174">
      <c r="A18" s="2" t="s">
        <v>245</v>
      </c>
      <c r="B18" s="11" t="s">
        <v>195</v>
      </c>
      <c r="C18" s="10" t="s">
        <v>246</v>
      </c>
      <c r="D18" s="2" t="s">
        <v>247</v>
      </c>
      <c r="E18" s="2" t="s">
        <v>248</v>
      </c>
    </row>
    <row r="19" spans="1:5" ht="43.5">
      <c r="A19" s="2" t="s">
        <v>249</v>
      </c>
      <c r="B19" s="11" t="s">
        <v>195</v>
      </c>
      <c r="C19" s="10" t="s">
        <v>250</v>
      </c>
      <c r="D19" s="2" t="s">
        <v>251</v>
      </c>
      <c r="E19" s="2" t="s">
        <v>252</v>
      </c>
    </row>
    <row r="20" spans="1:5" ht="43.5">
      <c r="A20" s="2" t="s">
        <v>253</v>
      </c>
      <c r="B20" s="11" t="s">
        <v>195</v>
      </c>
      <c r="C20" s="10" t="s">
        <v>254</v>
      </c>
      <c r="D20" s="2" t="s">
        <v>255</v>
      </c>
      <c r="E20" s="2" t="s">
        <v>256</v>
      </c>
    </row>
    <row r="21" spans="1:5" ht="43.5">
      <c r="A21" s="2" t="s">
        <v>257</v>
      </c>
      <c r="B21" s="11" t="s">
        <v>195</v>
      </c>
      <c r="C21" s="10" t="s">
        <v>258</v>
      </c>
      <c r="D21" s="2" t="s">
        <v>259</v>
      </c>
      <c r="E21" s="2" t="s">
        <v>260</v>
      </c>
    </row>
    <row r="22" spans="1:5" ht="188.45">
      <c r="A22" s="2" t="s">
        <v>261</v>
      </c>
      <c r="B22" s="2" t="s">
        <v>262</v>
      </c>
      <c r="C22" s="10" t="s">
        <v>263</v>
      </c>
      <c r="D22" s="2" t="s">
        <v>264</v>
      </c>
      <c r="E22" s="2" t="s">
        <v>265</v>
      </c>
    </row>
    <row r="23" spans="1:5" ht="203.1">
      <c r="A23" s="2" t="s">
        <v>266</v>
      </c>
      <c r="B23" s="2" t="s">
        <v>267</v>
      </c>
      <c r="C23" s="10" t="s">
        <v>268</v>
      </c>
      <c r="D23" s="2" t="s">
        <v>269</v>
      </c>
      <c r="E23" s="2" t="s">
        <v>270</v>
      </c>
    </row>
    <row r="24" spans="1:5" ht="188.45">
      <c r="A24" s="2" t="s">
        <v>271</v>
      </c>
      <c r="B24" s="2" t="s">
        <v>267</v>
      </c>
      <c r="D24" s="2" t="s">
        <v>272</v>
      </c>
      <c r="E24" s="2" t="s">
        <v>273</v>
      </c>
    </row>
  </sheetData>
  <hyperlinks>
    <hyperlink ref="C3" r:id="rId1" xr:uid="{17745F81-C9F7-44B9-A694-C33A49C9F3D8}"/>
    <hyperlink ref="C5" r:id="rId2" xr:uid="{9EFF64A7-B2FF-48B0-8192-FF9EDE405E63}"/>
    <hyperlink ref="C4" r:id="rId3" xr:uid="{A2308E5F-C7D0-42F6-943B-DC288AF753FA}"/>
    <hyperlink ref="C7" r:id="rId4" xr:uid="{451512D2-84BD-4501-BD7F-1138A39166FC}"/>
    <hyperlink ref="C9" r:id="rId5" xr:uid="{947D3B6B-BD83-42E5-8B7C-81C3FE2DC882}"/>
    <hyperlink ref="C6" r:id="rId6" xr:uid="{9E7653F6-78EA-4ECE-B9F5-5EA568E2B673}"/>
    <hyperlink ref="C16" r:id="rId7" xr:uid="{4DD23EF4-B3C8-4250-8A51-A6F15B29A8CB}"/>
    <hyperlink ref="C8" r:id="rId8" xr:uid="{5EEF79F5-FD59-43B2-A3D8-8FE2CC153B9E}"/>
    <hyperlink ref="C10" r:id="rId9" xr:uid="{790CA6B4-4139-4D21-8737-97948C64C3F2}"/>
    <hyperlink ref="C11" r:id="rId10" xr:uid="{ACA0BC85-AAA6-4795-B6C4-55502178B141}"/>
    <hyperlink ref="C12" r:id="rId11" xr:uid="{67FE9753-E85A-49FB-8B8A-8208E5BE963B}"/>
    <hyperlink ref="C13" r:id="rId12" xr:uid="{003E137B-1D7D-407F-A2AA-18440C564C3F}"/>
    <hyperlink ref="C14" r:id="rId13" xr:uid="{C1F28180-2DB4-4C00-9E04-95694FBFB1B4}"/>
    <hyperlink ref="C15" r:id="rId14" xr:uid="{36BAC372-B485-4816-BB9F-E75EE4FB1844}"/>
    <hyperlink ref="C17" r:id="rId15" xr:uid="{D103E00E-BD21-42D0-AF2B-8D854957F85F}"/>
    <hyperlink ref="C18" r:id="rId16" xr:uid="{D69CEB0E-531C-461D-9909-35F4DD5D8C53}"/>
    <hyperlink ref="C19" r:id="rId17" xr:uid="{14578778-9DE7-43FE-B4A8-389D925362A9}"/>
    <hyperlink ref="C20" r:id="rId18" xr:uid="{B6B55F6B-4C11-466F-9E8F-3A3812F33853}"/>
    <hyperlink ref="C21" r:id="rId19" xr:uid="{AAD894B3-6DF3-40FC-912D-DA01854651F2}"/>
    <hyperlink ref="C2" r:id="rId20" xr:uid="{562DBDB4-972F-45AC-9466-632BF42CAB7B}"/>
    <hyperlink ref="C22" r:id="rId21" xr:uid="{182AFAE1-B807-415A-9158-B8C0BDBA0ECA}"/>
    <hyperlink ref="C23" r:id="rId22" xr:uid="{30D0A563-B8B6-42E4-B870-1F91B18C7EA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AE2B7-9F03-45D4-BE74-1CB02EA6566E}">
  <dimension ref="A1:F194"/>
  <sheetViews>
    <sheetView workbookViewId="0">
      <selection activeCell="C11" sqref="C11"/>
    </sheetView>
  </sheetViews>
  <sheetFormatPr defaultRowHeight="14.45"/>
  <cols>
    <col min="1" max="1" width="12.7109375" customWidth="1"/>
    <col min="2" max="2" width="24.85546875" customWidth="1"/>
    <col min="3" max="3" width="28.28515625" customWidth="1"/>
    <col min="4" max="4" width="11.85546875" customWidth="1"/>
  </cols>
  <sheetData>
    <row r="1" spans="1:6">
      <c r="A1" t="s">
        <v>0</v>
      </c>
      <c r="B1" t="s">
        <v>274</v>
      </c>
      <c r="C1" t="s">
        <v>2</v>
      </c>
      <c r="D1" t="s">
        <v>107</v>
      </c>
      <c r="E1" t="s">
        <v>8</v>
      </c>
      <c r="F1" t="s">
        <v>9</v>
      </c>
    </row>
    <row r="2" spans="1:6">
      <c r="A2" t="s">
        <v>11</v>
      </c>
      <c r="B2" t="s">
        <v>275</v>
      </c>
      <c r="C2" t="s">
        <v>276</v>
      </c>
      <c r="D2" t="s">
        <v>25</v>
      </c>
      <c r="E2" t="s">
        <v>277</v>
      </c>
      <c r="F2" t="s">
        <v>17</v>
      </c>
    </row>
    <row r="3" spans="1:6">
      <c r="A3" t="s">
        <v>278</v>
      </c>
      <c r="B3" t="s">
        <v>12</v>
      </c>
      <c r="C3" t="s">
        <v>279</v>
      </c>
      <c r="D3" t="s">
        <v>21</v>
      </c>
      <c r="E3" t="s">
        <v>16</v>
      </c>
      <c r="F3" t="s">
        <v>280</v>
      </c>
    </row>
    <row r="4" spans="1:6">
      <c r="A4" t="s">
        <v>18</v>
      </c>
      <c r="B4" t="s">
        <v>281</v>
      </c>
      <c r="C4" t="s">
        <v>282</v>
      </c>
      <c r="D4" t="s">
        <v>15</v>
      </c>
      <c r="F4" t="s">
        <v>283</v>
      </c>
    </row>
    <row r="5" spans="1:6">
      <c r="A5" t="s">
        <v>58</v>
      </c>
      <c r="B5" t="s">
        <v>284</v>
      </c>
      <c r="C5" t="s">
        <v>13</v>
      </c>
      <c r="F5" t="s">
        <v>285</v>
      </c>
    </row>
    <row r="6" spans="1:6">
      <c r="A6" t="s">
        <v>66</v>
      </c>
      <c r="B6" t="s">
        <v>286</v>
      </c>
      <c r="C6" t="s">
        <v>287</v>
      </c>
    </row>
    <row r="7" spans="1:6">
      <c r="A7" t="s">
        <v>54</v>
      </c>
      <c r="B7" t="s">
        <v>288</v>
      </c>
      <c r="C7" t="s">
        <v>289</v>
      </c>
    </row>
    <row r="8" spans="1:6">
      <c r="B8" t="s">
        <v>290</v>
      </c>
      <c r="C8" t="s">
        <v>291</v>
      </c>
    </row>
    <row r="9" spans="1:6">
      <c r="B9" t="s">
        <v>292</v>
      </c>
      <c r="C9" t="s">
        <v>293</v>
      </c>
    </row>
    <row r="10" spans="1:6" ht="15" customHeight="1">
      <c r="B10" t="s">
        <v>294</v>
      </c>
    </row>
    <row r="11" spans="1:6">
      <c r="B11" t="s">
        <v>295</v>
      </c>
    </row>
    <row r="12" spans="1:6">
      <c r="B12" t="s">
        <v>296</v>
      </c>
    </row>
    <row r="13" spans="1:6">
      <c r="B13" t="s">
        <v>297</v>
      </c>
    </row>
    <row r="14" spans="1:6">
      <c r="B14" t="s">
        <v>298</v>
      </c>
    </row>
    <row r="15" spans="1:6">
      <c r="B15" t="s">
        <v>38</v>
      </c>
    </row>
    <row r="16" spans="1:6">
      <c r="B16" t="s">
        <v>299</v>
      </c>
    </row>
    <row r="17" spans="2:2">
      <c r="B17" t="s">
        <v>300</v>
      </c>
    </row>
    <row r="18" spans="2:2">
      <c r="B18" t="s">
        <v>301</v>
      </c>
    </row>
    <row r="19" spans="2:2">
      <c r="B19" t="s">
        <v>302</v>
      </c>
    </row>
    <row r="20" spans="2:2">
      <c r="B20" t="s">
        <v>303</v>
      </c>
    </row>
    <row r="21" spans="2:2">
      <c r="B21" t="s">
        <v>34</v>
      </c>
    </row>
    <row r="22" spans="2:2">
      <c r="B22" t="s">
        <v>304</v>
      </c>
    </row>
    <row r="23" spans="2:2">
      <c r="B23" t="s">
        <v>305</v>
      </c>
    </row>
    <row r="24" spans="2:2">
      <c r="B24" t="s">
        <v>306</v>
      </c>
    </row>
    <row r="25" spans="2:2">
      <c r="B25" t="s">
        <v>307</v>
      </c>
    </row>
    <row r="26" spans="2:2">
      <c r="B26" t="s">
        <v>308</v>
      </c>
    </row>
    <row r="27" spans="2:2">
      <c r="B27" t="s">
        <v>309</v>
      </c>
    </row>
    <row r="28" spans="2:2">
      <c r="B28" t="s">
        <v>310</v>
      </c>
    </row>
    <row r="29" spans="2:2">
      <c r="B29" t="s">
        <v>311</v>
      </c>
    </row>
    <row r="30" spans="2:2">
      <c r="B30" t="s">
        <v>312</v>
      </c>
    </row>
    <row r="31" spans="2:2">
      <c r="B31" t="s">
        <v>26</v>
      </c>
    </row>
    <row r="32" spans="2:2">
      <c r="B32" t="s">
        <v>313</v>
      </c>
    </row>
    <row r="33" spans="2:2">
      <c r="B33" t="s">
        <v>314</v>
      </c>
    </row>
    <row r="34" spans="2:2">
      <c r="B34" t="s">
        <v>315</v>
      </c>
    </row>
    <row r="35" spans="2:2">
      <c r="B35" t="s">
        <v>316</v>
      </c>
    </row>
    <row r="36" spans="2:2">
      <c r="B36" t="s">
        <v>317</v>
      </c>
    </row>
    <row r="37" spans="2:2">
      <c r="B37" t="s">
        <v>318</v>
      </c>
    </row>
    <row r="38" spans="2:2">
      <c r="B38" t="s">
        <v>80</v>
      </c>
    </row>
    <row r="39" spans="2:2">
      <c r="B39" t="s">
        <v>319</v>
      </c>
    </row>
    <row r="40" spans="2:2">
      <c r="B40" t="s">
        <v>320</v>
      </c>
    </row>
    <row r="41" spans="2:2">
      <c r="B41" t="s">
        <v>321</v>
      </c>
    </row>
    <row r="42" spans="2:2">
      <c r="B42" t="s">
        <v>322</v>
      </c>
    </row>
    <row r="43" spans="2:2">
      <c r="B43" t="s">
        <v>323</v>
      </c>
    </row>
    <row r="44" spans="2:2">
      <c r="B44" t="s">
        <v>324</v>
      </c>
    </row>
    <row r="45" spans="2:2">
      <c r="B45" t="s">
        <v>325</v>
      </c>
    </row>
    <row r="46" spans="2:2">
      <c r="B46" t="s">
        <v>326</v>
      </c>
    </row>
    <row r="47" spans="2:2">
      <c r="B47" t="s">
        <v>327</v>
      </c>
    </row>
    <row r="48" spans="2:2">
      <c r="B48" t="s">
        <v>328</v>
      </c>
    </row>
    <row r="49" spans="2:2">
      <c r="B49" t="s">
        <v>329</v>
      </c>
    </row>
    <row r="50" spans="2:2">
      <c r="B50" t="s">
        <v>330</v>
      </c>
    </row>
    <row r="51" spans="2:2">
      <c r="B51" t="s">
        <v>331</v>
      </c>
    </row>
    <row r="52" spans="2:2">
      <c r="B52" t="s">
        <v>55</v>
      </c>
    </row>
    <row r="53" spans="2:2">
      <c r="B53" t="s">
        <v>332</v>
      </c>
    </row>
    <row r="54" spans="2:2">
      <c r="B54" t="s">
        <v>333</v>
      </c>
    </row>
    <row r="55" spans="2:2">
      <c r="B55" t="s">
        <v>334</v>
      </c>
    </row>
    <row r="56" spans="2:2">
      <c r="B56" t="s">
        <v>335</v>
      </c>
    </row>
    <row r="57" spans="2:2">
      <c r="B57" t="s">
        <v>336</v>
      </c>
    </row>
    <row r="58" spans="2:2">
      <c r="B58" t="s">
        <v>337</v>
      </c>
    </row>
    <row r="59" spans="2:2">
      <c r="B59" t="s">
        <v>51</v>
      </c>
    </row>
    <row r="60" spans="2:2">
      <c r="B60" t="s">
        <v>338</v>
      </c>
    </row>
    <row r="61" spans="2:2">
      <c r="B61" t="s">
        <v>40</v>
      </c>
    </row>
    <row r="62" spans="2:2">
      <c r="B62" t="s">
        <v>339</v>
      </c>
    </row>
    <row r="63" spans="2:2">
      <c r="B63" t="s">
        <v>340</v>
      </c>
    </row>
    <row r="64" spans="2:2">
      <c r="B64" t="s">
        <v>341</v>
      </c>
    </row>
    <row r="65" spans="2:2">
      <c r="B65" t="s">
        <v>342</v>
      </c>
    </row>
    <row r="66" spans="2:2">
      <c r="B66" t="s">
        <v>343</v>
      </c>
    </row>
    <row r="67" spans="2:2">
      <c r="B67" t="s">
        <v>344</v>
      </c>
    </row>
    <row r="68" spans="2:2">
      <c r="B68" t="s">
        <v>345</v>
      </c>
    </row>
    <row r="69" spans="2:2">
      <c r="B69" t="s">
        <v>346</v>
      </c>
    </row>
    <row r="70" spans="2:2">
      <c r="B70" t="s">
        <v>347</v>
      </c>
    </row>
    <row r="71" spans="2:2">
      <c r="B71" t="s">
        <v>348</v>
      </c>
    </row>
    <row r="72" spans="2:2">
      <c r="B72" t="s">
        <v>349</v>
      </c>
    </row>
    <row r="73" spans="2:2">
      <c r="B73" t="s">
        <v>78</v>
      </c>
    </row>
    <row r="74" spans="2:2">
      <c r="B74" t="s">
        <v>350</v>
      </c>
    </row>
    <row r="75" spans="2:2">
      <c r="B75" t="s">
        <v>351</v>
      </c>
    </row>
    <row r="76" spans="2:2">
      <c r="B76" t="s">
        <v>352</v>
      </c>
    </row>
    <row r="77" spans="2:2">
      <c r="B77" t="s">
        <v>353</v>
      </c>
    </row>
    <row r="78" spans="2:2">
      <c r="B78" t="s">
        <v>354</v>
      </c>
    </row>
    <row r="79" spans="2:2">
      <c r="B79" t="s">
        <v>355</v>
      </c>
    </row>
    <row r="80" spans="2:2">
      <c r="B80" t="s">
        <v>356</v>
      </c>
    </row>
    <row r="81" spans="1:6">
      <c r="B81" t="s">
        <v>357</v>
      </c>
    </row>
    <row r="82" spans="1:6">
      <c r="B82" t="s">
        <v>358</v>
      </c>
    </row>
    <row r="83" spans="1:6">
      <c r="B83" t="s">
        <v>359</v>
      </c>
    </row>
    <row r="84" spans="1:6">
      <c r="B84" t="s">
        <v>360</v>
      </c>
    </row>
    <row r="85" spans="1:6">
      <c r="B85" t="s">
        <v>361</v>
      </c>
    </row>
    <row r="86" spans="1:6">
      <c r="B86" t="s">
        <v>362</v>
      </c>
    </row>
    <row r="87" spans="1:6">
      <c r="B87" t="s">
        <v>363</v>
      </c>
    </row>
    <row r="88" spans="1:6">
      <c r="B88" t="s">
        <v>364</v>
      </c>
    </row>
    <row r="89" spans="1:6">
      <c r="A89" t="s">
        <v>58</v>
      </c>
      <c r="B89" t="s">
        <v>59</v>
      </c>
      <c r="C89" t="s">
        <v>13</v>
      </c>
      <c r="D89" t="s">
        <v>21</v>
      </c>
      <c r="F89" t="s">
        <v>280</v>
      </c>
    </row>
    <row r="90" spans="1:6">
      <c r="B90" t="s">
        <v>365</v>
      </c>
    </row>
    <row r="91" spans="1:6">
      <c r="B91" t="s">
        <v>366</v>
      </c>
    </row>
    <row r="92" spans="1:6">
      <c r="B92" t="s">
        <v>367</v>
      </c>
    </row>
    <row r="93" spans="1:6">
      <c r="B93" t="s">
        <v>368</v>
      </c>
    </row>
    <row r="94" spans="1:6">
      <c r="B94" t="s">
        <v>369</v>
      </c>
    </row>
    <row r="95" spans="1:6">
      <c r="B95" t="s">
        <v>370</v>
      </c>
    </row>
    <row r="96" spans="1:6">
      <c r="B96" t="s">
        <v>371</v>
      </c>
    </row>
    <row r="97" spans="2:2">
      <c r="B97" t="s">
        <v>63</v>
      </c>
    </row>
    <row r="98" spans="2:2">
      <c r="B98" t="s">
        <v>372</v>
      </c>
    </row>
    <row r="99" spans="2:2">
      <c r="B99" t="s">
        <v>373</v>
      </c>
    </row>
    <row r="100" spans="2:2">
      <c r="B100" t="s">
        <v>374</v>
      </c>
    </row>
    <row r="101" spans="2:2">
      <c r="B101" t="s">
        <v>375</v>
      </c>
    </row>
    <row r="102" spans="2:2">
      <c r="B102" t="s">
        <v>376</v>
      </c>
    </row>
    <row r="103" spans="2:2">
      <c r="B103" t="s">
        <v>377</v>
      </c>
    </row>
    <row r="104" spans="2:2">
      <c r="B104" t="s">
        <v>378</v>
      </c>
    </row>
    <row r="105" spans="2:2">
      <c r="B105" t="s">
        <v>379</v>
      </c>
    </row>
    <row r="106" spans="2:2">
      <c r="B106" t="s">
        <v>380</v>
      </c>
    </row>
    <row r="107" spans="2:2">
      <c r="B107" t="s">
        <v>381</v>
      </c>
    </row>
    <row r="108" spans="2:2">
      <c r="B108" t="s">
        <v>382</v>
      </c>
    </row>
    <row r="109" spans="2:2">
      <c r="B109" t="s">
        <v>383</v>
      </c>
    </row>
    <row r="110" spans="2:2">
      <c r="B110" t="s">
        <v>64</v>
      </c>
    </row>
    <row r="111" spans="2:2">
      <c r="B111" t="s">
        <v>384</v>
      </c>
    </row>
    <row r="112" spans="2:2">
      <c r="B112" t="s">
        <v>385</v>
      </c>
    </row>
    <row r="113" spans="2:2">
      <c r="B113" t="s">
        <v>386</v>
      </c>
    </row>
    <row r="114" spans="2:2">
      <c r="B114" t="s">
        <v>387</v>
      </c>
    </row>
    <row r="115" spans="2:2">
      <c r="B115" t="s">
        <v>19</v>
      </c>
    </row>
    <row r="116" spans="2:2">
      <c r="B116" t="s">
        <v>67</v>
      </c>
    </row>
    <row r="117" spans="2:2">
      <c r="B117" t="s">
        <v>388</v>
      </c>
    </row>
    <row r="118" spans="2:2">
      <c r="B118" t="s">
        <v>72</v>
      </c>
    </row>
    <row r="119" spans="2:2">
      <c r="B119" t="s">
        <v>389</v>
      </c>
    </row>
    <row r="120" spans="2:2">
      <c r="B120" t="s">
        <v>390</v>
      </c>
    </row>
    <row r="121" spans="2:2">
      <c r="B121" t="s">
        <v>391</v>
      </c>
    </row>
    <row r="122" spans="2:2">
      <c r="B122" t="s">
        <v>32</v>
      </c>
    </row>
    <row r="123" spans="2:2">
      <c r="B123" t="s">
        <v>392</v>
      </c>
    </row>
    <row r="124" spans="2:2">
      <c r="B124" t="s">
        <v>393</v>
      </c>
    </row>
    <row r="125" spans="2:2">
      <c r="B125" t="s">
        <v>394</v>
      </c>
    </row>
    <row r="126" spans="2:2">
      <c r="B126" t="s">
        <v>395</v>
      </c>
    </row>
    <row r="127" spans="2:2">
      <c r="B127" t="s">
        <v>396</v>
      </c>
    </row>
    <row r="128" spans="2:2">
      <c r="B128" t="s">
        <v>397</v>
      </c>
    </row>
    <row r="129" spans="2:2">
      <c r="B129" t="s">
        <v>398</v>
      </c>
    </row>
    <row r="130" spans="2:2">
      <c r="B130" t="s">
        <v>399</v>
      </c>
    </row>
    <row r="131" spans="2:2">
      <c r="B131" t="s">
        <v>30</v>
      </c>
    </row>
    <row r="132" spans="2:2">
      <c r="B132" t="s">
        <v>44</v>
      </c>
    </row>
    <row r="133" spans="2:2">
      <c r="B133" t="s">
        <v>400</v>
      </c>
    </row>
    <row r="134" spans="2:2">
      <c r="B134" t="s">
        <v>45</v>
      </c>
    </row>
    <row r="135" spans="2:2">
      <c r="B135" t="s">
        <v>401</v>
      </c>
    </row>
    <row r="136" spans="2:2">
      <c r="B136" t="s">
        <v>402</v>
      </c>
    </row>
    <row r="137" spans="2:2">
      <c r="B137" t="s">
        <v>403</v>
      </c>
    </row>
    <row r="138" spans="2:2">
      <c r="B138" t="s">
        <v>404</v>
      </c>
    </row>
    <row r="139" spans="2:2">
      <c r="B139" t="s">
        <v>405</v>
      </c>
    </row>
    <row r="140" spans="2:2">
      <c r="B140" t="s">
        <v>406</v>
      </c>
    </row>
    <row r="141" spans="2:2">
      <c r="B141" t="s">
        <v>407</v>
      </c>
    </row>
    <row r="142" spans="2:2">
      <c r="B142" t="s">
        <v>408</v>
      </c>
    </row>
    <row r="143" spans="2:2">
      <c r="B143" t="s">
        <v>409</v>
      </c>
    </row>
    <row r="144" spans="2:2">
      <c r="B144" t="s">
        <v>410</v>
      </c>
    </row>
    <row r="145" spans="2:2">
      <c r="B145" t="s">
        <v>411</v>
      </c>
    </row>
    <row r="146" spans="2:2">
      <c r="B146" t="s">
        <v>412</v>
      </c>
    </row>
    <row r="147" spans="2:2">
      <c r="B147" t="s">
        <v>413</v>
      </c>
    </row>
    <row r="148" spans="2:2">
      <c r="B148" t="s">
        <v>414</v>
      </c>
    </row>
    <row r="149" spans="2:2">
      <c r="B149" t="s">
        <v>47</v>
      </c>
    </row>
    <row r="150" spans="2:2">
      <c r="B150" t="s">
        <v>415</v>
      </c>
    </row>
    <row r="151" spans="2:2">
      <c r="B151" t="s">
        <v>416</v>
      </c>
    </row>
    <row r="152" spans="2:2">
      <c r="B152" t="s">
        <v>417</v>
      </c>
    </row>
    <row r="153" spans="2:2">
      <c r="B153" t="s">
        <v>418</v>
      </c>
    </row>
    <row r="154" spans="2:2">
      <c r="B154" t="s">
        <v>70</v>
      </c>
    </row>
    <row r="155" spans="2:2">
      <c r="B155" t="s">
        <v>419</v>
      </c>
    </row>
    <row r="156" spans="2:2">
      <c r="B156" t="s">
        <v>420</v>
      </c>
    </row>
    <row r="157" spans="2:2">
      <c r="B157" t="s">
        <v>421</v>
      </c>
    </row>
    <row r="158" spans="2:2">
      <c r="B158" t="s">
        <v>422</v>
      </c>
    </row>
    <row r="159" spans="2:2">
      <c r="B159" t="s">
        <v>423</v>
      </c>
    </row>
    <row r="160" spans="2:2">
      <c r="B160" t="s">
        <v>424</v>
      </c>
    </row>
    <row r="161" spans="2:2">
      <c r="B161" t="s">
        <v>425</v>
      </c>
    </row>
    <row r="162" spans="2:2">
      <c r="B162" t="s">
        <v>426</v>
      </c>
    </row>
    <row r="163" spans="2:2">
      <c r="B163" t="s">
        <v>427</v>
      </c>
    </row>
    <row r="164" spans="2:2">
      <c r="B164" t="s">
        <v>428</v>
      </c>
    </row>
    <row r="165" spans="2:2">
      <c r="B165" t="s">
        <v>429</v>
      </c>
    </row>
    <row r="166" spans="2:2">
      <c r="B166" t="s">
        <v>430</v>
      </c>
    </row>
    <row r="167" spans="2:2">
      <c r="B167" t="s">
        <v>431</v>
      </c>
    </row>
    <row r="168" spans="2:2">
      <c r="B168" t="s">
        <v>432</v>
      </c>
    </row>
    <row r="169" spans="2:2">
      <c r="B169" t="s">
        <v>433</v>
      </c>
    </row>
    <row r="170" spans="2:2">
      <c r="B170" t="s">
        <v>434</v>
      </c>
    </row>
    <row r="171" spans="2:2">
      <c r="B171" t="s">
        <v>435</v>
      </c>
    </row>
    <row r="172" spans="2:2">
      <c r="B172" t="s">
        <v>436</v>
      </c>
    </row>
    <row r="173" spans="2:2">
      <c r="B173" t="s">
        <v>437</v>
      </c>
    </row>
    <row r="174" spans="2:2">
      <c r="B174" t="s">
        <v>438</v>
      </c>
    </row>
    <row r="175" spans="2:2">
      <c r="B175" t="s">
        <v>439</v>
      </c>
    </row>
    <row r="176" spans="2:2">
      <c r="B176" t="s">
        <v>440</v>
      </c>
    </row>
    <row r="177" spans="2:2">
      <c r="B177" t="s">
        <v>441</v>
      </c>
    </row>
    <row r="178" spans="2:2">
      <c r="B178" t="s">
        <v>442</v>
      </c>
    </row>
    <row r="179" spans="2:2">
      <c r="B179" t="s">
        <v>49</v>
      </c>
    </row>
    <row r="180" spans="2:2">
      <c r="B180" t="s">
        <v>443</v>
      </c>
    </row>
    <row r="181" spans="2:2">
      <c r="B181" t="s">
        <v>444</v>
      </c>
    </row>
    <row r="182" spans="2:2">
      <c r="B182" t="s">
        <v>445</v>
      </c>
    </row>
    <row r="183" spans="2:2">
      <c r="B183" t="s">
        <v>446</v>
      </c>
    </row>
    <row r="184" spans="2:2">
      <c r="B184" t="s">
        <v>447</v>
      </c>
    </row>
    <row r="185" spans="2:2">
      <c r="B185" t="s">
        <v>448</v>
      </c>
    </row>
    <row r="186" spans="2:2">
      <c r="B186" t="s">
        <v>449</v>
      </c>
    </row>
    <row r="187" spans="2:2">
      <c r="B187" t="s">
        <v>450</v>
      </c>
    </row>
    <row r="188" spans="2:2">
      <c r="B188" t="s">
        <v>451</v>
      </c>
    </row>
    <row r="189" spans="2:2">
      <c r="B189" t="s">
        <v>42</v>
      </c>
    </row>
    <row r="190" spans="2:2">
      <c r="B190" t="s">
        <v>452</v>
      </c>
    </row>
    <row r="191" spans="2:2">
      <c r="B191" t="s">
        <v>453</v>
      </c>
    </row>
    <row r="192" spans="2:2">
      <c r="B192" t="s">
        <v>454</v>
      </c>
    </row>
    <row r="193" spans="2:2">
      <c r="B193" t="s">
        <v>455</v>
      </c>
    </row>
    <row r="194" spans="2:2">
      <c r="B194" t="s">
        <v>88</v>
      </c>
    </row>
  </sheetData>
  <sortState xmlns:xlrd2="http://schemas.microsoft.com/office/spreadsheetml/2017/richdata2" ref="C3:C9">
    <sortCondition ref="C2:C9"/>
  </sortState>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CE203-BA2C-4819-B524-B1DC6A4570C0}">
  <dimension ref="A1:E8"/>
  <sheetViews>
    <sheetView workbookViewId="0">
      <selection activeCell="J5" sqref="J5"/>
    </sheetView>
  </sheetViews>
  <sheetFormatPr defaultRowHeight="14.45"/>
  <cols>
    <col min="1" max="1" width="11" bestFit="1" customWidth="1"/>
    <col min="2" max="2" width="27.85546875" customWidth="1"/>
  </cols>
  <sheetData>
    <row r="1" spans="1:5">
      <c r="A1" s="1" t="s">
        <v>456</v>
      </c>
      <c r="B1" s="16" t="s">
        <v>457</v>
      </c>
    </row>
    <row r="2" spans="1:5">
      <c r="A2" t="str" cm="1">
        <f t="array" ref="A2:A7">'Input Sheet'!A2:A7</f>
        <v>Africa</v>
      </c>
      <c r="B2">
        <f>15000+15000+17000+15000</f>
        <v>62000</v>
      </c>
      <c r="E2" t="s">
        <v>11</v>
      </c>
    </row>
    <row r="3" spans="1:5">
      <c r="A3" t="str">
        <v>Arab States</v>
      </c>
      <c r="B3">
        <f>12000+12000</f>
        <v>24000</v>
      </c>
      <c r="E3" t="s">
        <v>54</v>
      </c>
    </row>
    <row r="4" spans="1:5">
      <c r="A4" t="str">
        <v>Asia-Pacific</v>
      </c>
      <c r="B4">
        <f>15000+25000+20000</f>
        <v>60000</v>
      </c>
      <c r="E4" t="s">
        <v>278</v>
      </c>
    </row>
    <row r="5" spans="1:5">
      <c r="A5" t="str">
        <v>CIS</v>
      </c>
      <c r="B5">
        <f>15000+10000</f>
        <v>25000</v>
      </c>
      <c r="E5" t="s">
        <v>18</v>
      </c>
    </row>
    <row r="6" spans="1:5">
      <c r="A6" t="str">
        <v>Europe</v>
      </c>
      <c r="B6">
        <f>10000+15000</f>
        <v>25000</v>
      </c>
      <c r="E6" t="s">
        <v>58</v>
      </c>
    </row>
    <row r="7" spans="1:5">
      <c r="A7" t="str">
        <v>Americas</v>
      </c>
      <c r="B7" s="14">
        <f>16500</f>
        <v>16500</v>
      </c>
      <c r="E7" t="s">
        <v>66</v>
      </c>
    </row>
    <row r="8" spans="1:5">
      <c r="A8" s="15" t="s">
        <v>458</v>
      </c>
      <c r="B8">
        <f>SUM(B2:B7)</f>
        <v>212500</v>
      </c>
    </row>
  </sheetData>
  <sortState xmlns:xlrd2="http://schemas.microsoft.com/office/spreadsheetml/2017/richdata2" ref="E2:E7">
    <sortCondition ref="E2:E7"/>
  </sortState>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1C82B69E-3D21-418F-8541-1AB31408DA6A}">
          <x14:formula1>
            <xm:f>'Input Sheet'!$D$2:$D$4</xm:f>
          </x14:formula1>
          <xm:sqref>C2:C7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331FE-48AD-476B-927A-3F26DF617831}">
  <dimension ref="A1"/>
  <sheetViews>
    <sheetView workbookViewId="0">
      <selection activeCell="I21" sqref="I21:I22"/>
    </sheetView>
  </sheetViews>
  <sheetFormatPr defaultRowHeight="14.4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840361495D9184DA98268158DDE04CB" ma:contentTypeVersion="14" ma:contentTypeDescription="Create a new document." ma:contentTypeScope="" ma:versionID="54a82e38326b2858f84a6473f4dd4ed1">
  <xsd:schema xmlns:xsd="http://www.w3.org/2001/XMLSchema" xmlns:xs="http://www.w3.org/2001/XMLSchema" xmlns:p="http://schemas.microsoft.com/office/2006/metadata/properties" xmlns:ns3="6cd167fc-a253-46cf-a6e8-b2a3895acce7" xmlns:ns4="5b32c6ad-66c6-4f1d-b199-99e785096fb2" targetNamespace="http://schemas.microsoft.com/office/2006/metadata/properties" ma:root="true" ma:fieldsID="e7d14268ea1aaa55747cf34b0c6211e0" ns3:_="" ns4:_="">
    <xsd:import namespace="6cd167fc-a253-46cf-a6e8-b2a3895acce7"/>
    <xsd:import namespace="5b32c6ad-66c6-4f1d-b199-99e785096fb2"/>
    <xsd:element name="properties">
      <xsd:complexType>
        <xsd:sequence>
          <xsd:element name="documentManagement">
            <xsd:complexType>
              <xsd:all>
                <xsd:element ref="ns3:MediaServiceDateTaken" minOccurs="0"/>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cd167fc-a253-46cf-a6e8-b2a3895acce7"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b32c6ad-66c6-4f1d-b199-99e785096fb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6cd167fc-a253-46cf-a6e8-b2a3895acce7" xsi:nil="true"/>
  </documentManagement>
</p:properties>
</file>

<file path=customXml/itemProps1.xml><?xml version="1.0" encoding="utf-8"?>
<ds:datastoreItem xmlns:ds="http://schemas.openxmlformats.org/officeDocument/2006/customXml" ds:itemID="{25D2DB26-1A28-4E75-848E-E3C4499A61D1}"/>
</file>

<file path=customXml/itemProps2.xml><?xml version="1.0" encoding="utf-8"?>
<ds:datastoreItem xmlns:ds="http://schemas.openxmlformats.org/officeDocument/2006/customXml" ds:itemID="{6CEA1C9B-312A-4AD1-B745-70D8FB5F97CA}"/>
</file>

<file path=customXml/itemProps3.xml><?xml version="1.0" encoding="utf-8"?>
<ds:datastoreItem xmlns:ds="http://schemas.openxmlformats.org/officeDocument/2006/customXml" ds:itemID="{4798A5DE-CF0A-46C4-8A2B-9F98B2133F8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Van Wyk, Jody</dc:creator>
  <cp:keywords/>
  <dc:description/>
  <cp:lastModifiedBy/>
  <cp:revision/>
  <dcterms:created xsi:type="dcterms:W3CDTF">2026-04-29T13:38:01Z</dcterms:created>
  <dcterms:modified xsi:type="dcterms:W3CDTF">2026-05-06T09:39:10Z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0x0101009840361495D9184DA98268158DDE04CB</vt:lpwstr>
  </property>
</Properties>
</file>